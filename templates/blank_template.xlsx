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81b9e80a3f37e8/デスクトップ/乗務員　給料/ﾎﾟｲﾝﾄ明細表/"/>
    </mc:Choice>
  </mc:AlternateContent>
  <xr:revisionPtr revIDLastSave="2156" documentId="14_{C2C65D5D-8CCA-44FD-B8C1-9AEF2A8ED4DC}" xr6:coauthVersionLast="47" xr6:coauthVersionMax="47" xr10:uidLastSave="{09BD1970-5DAB-4309-8C87-69DAB713233E}"/>
  <bookViews>
    <workbookView xWindow="-120" yWindow="-120" windowWidth="29040" windowHeight="15720" activeTab="8" xr2:uid="{2C3A6319-58B3-418C-A7FF-4E0193D84208}"/>
  </bookViews>
  <sheets>
    <sheet name="明細原本" sheetId="1" r:id="rId1"/>
    <sheet name="岡田" sheetId="2" r:id="rId2"/>
    <sheet name="水原" sheetId="3" r:id="rId3"/>
    <sheet name="久保" sheetId="4" r:id="rId4"/>
    <sheet name="宮富" sheetId="11" r:id="rId5"/>
    <sheet name="殿村" sheetId="5" r:id="rId6"/>
    <sheet name="立脇" sheetId="6" r:id="rId7"/>
    <sheet name="辻" sheetId="7" r:id="rId8"/>
    <sheet name="青山" sheetId="8" r:id="rId9"/>
    <sheet name="高丸" sheetId="9" r:id="rId10"/>
    <sheet name="田邊" sheetId="10" r:id="rId11"/>
    <sheet name="米田" sheetId="12" r:id="rId12"/>
    <sheet name="柳澤" sheetId="13" r:id="rId13"/>
    <sheet name="殿村ジュニア" sheetId="14" r:id="rId14"/>
    <sheet name="粟田" sheetId="15" r:id="rId15"/>
  </sheets>
  <definedNames>
    <definedName name="_xlnm.Print_Area" localSheetId="14">粟田!$A$1:$U$55</definedName>
    <definedName name="_xlnm.Print_Area" localSheetId="1">岡田!$A$1:$U$55</definedName>
    <definedName name="_xlnm.Print_Area" localSheetId="3">久保!$A$1:$U$55</definedName>
    <definedName name="_xlnm.Print_Area" localSheetId="4">宮富!$A$1:$U$55</definedName>
    <definedName name="_xlnm.Print_Area" localSheetId="9">高丸!$A$1:$U$55</definedName>
    <definedName name="_xlnm.Print_Area" localSheetId="2">水原!$A$1:$U$55</definedName>
    <definedName name="_xlnm.Print_Area" localSheetId="8">青山!$A$1:$U$55</definedName>
    <definedName name="_xlnm.Print_Area" localSheetId="7">辻!$A$1:$U$55</definedName>
    <definedName name="_xlnm.Print_Area" localSheetId="5">殿村!$A$1:$U$55</definedName>
    <definedName name="_xlnm.Print_Area" localSheetId="13">殿村ジュニア!$A$1:$U$55</definedName>
    <definedName name="_xlnm.Print_Area" localSheetId="10">田邊!$A$1:$U$55</definedName>
    <definedName name="_xlnm.Print_Area" localSheetId="11">米田!$A$1:$U$55</definedName>
    <definedName name="_xlnm.Print_Area" localSheetId="0">明細原本!$A$1:$U$55</definedName>
    <definedName name="_xlnm.Print_Area" localSheetId="12">柳澤!$A$1:$U$55</definedName>
    <definedName name="_xlnm.Print_Area" localSheetId="6">立脇!$A$1:$U$55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3" i="10" l="1"/>
  <c r="X42" i="10"/>
  <c r="X37" i="10"/>
  <c r="X38" i="10"/>
  <c r="X39" i="10"/>
  <c r="X40" i="10"/>
  <c r="T43" i="10"/>
  <c r="T40" i="10"/>
  <c r="I43" i="10"/>
  <c r="I40" i="10"/>
  <c r="I37" i="10"/>
  <c r="I34" i="10"/>
  <c r="I31" i="10"/>
  <c r="I28" i="10"/>
  <c r="I19" i="10"/>
  <c r="I16" i="10"/>
  <c r="I13" i="10"/>
  <c r="I10" i="10"/>
  <c r="I7" i="10"/>
  <c r="I4" i="10"/>
  <c r="I40" i="15"/>
  <c r="I37" i="15"/>
  <c r="I31" i="15"/>
  <c r="I25" i="15"/>
  <c r="I7" i="15"/>
  <c r="I40" i="13"/>
  <c r="T34" i="12"/>
  <c r="T37" i="12"/>
  <c r="I7" i="12"/>
  <c r="T7" i="9"/>
  <c r="I34" i="9"/>
  <c r="I13" i="9"/>
  <c r="I10" i="9"/>
  <c r="I7" i="9"/>
  <c r="U53" i="8" l="1"/>
  <c r="X39" i="8"/>
  <c r="X38" i="8"/>
  <c r="X37" i="8"/>
  <c r="X42" i="8"/>
  <c r="X41" i="8"/>
  <c r="N50" i="8"/>
  <c r="T16" i="8"/>
  <c r="T13" i="8"/>
  <c r="T10" i="8"/>
  <c r="T7" i="8"/>
  <c r="T4" i="8"/>
  <c r="I40" i="8"/>
  <c r="I37" i="8"/>
  <c r="I34" i="8"/>
  <c r="I31" i="8"/>
  <c r="I28" i="8"/>
  <c r="I25" i="8"/>
  <c r="T43" i="7"/>
  <c r="T34" i="7"/>
  <c r="T31" i="7"/>
  <c r="T28" i="7"/>
  <c r="T25" i="7"/>
  <c r="T22" i="7"/>
  <c r="T19" i="7"/>
  <c r="I22" i="7"/>
  <c r="I19" i="7"/>
  <c r="I16" i="7"/>
  <c r="I13" i="7"/>
  <c r="I10" i="7"/>
  <c r="T40" i="6"/>
  <c r="T37" i="6"/>
  <c r="T34" i="6"/>
  <c r="T31" i="6"/>
  <c r="T28" i="6"/>
  <c r="T25" i="6"/>
  <c r="T13" i="6"/>
  <c r="T10" i="6"/>
  <c r="T7" i="6"/>
  <c r="T43" i="14"/>
  <c r="T34" i="14"/>
  <c r="T31" i="14"/>
  <c r="T28" i="14"/>
  <c r="T25" i="14"/>
  <c r="T22" i="14"/>
  <c r="T13" i="14"/>
  <c r="T10" i="14"/>
  <c r="T7" i="14"/>
  <c r="T4" i="14"/>
  <c r="I40" i="14"/>
  <c r="I37" i="14"/>
  <c r="I34" i="14"/>
  <c r="I31" i="14"/>
  <c r="I28" i="14"/>
  <c r="I19" i="14"/>
  <c r="I16" i="14"/>
  <c r="I13" i="14"/>
  <c r="I10" i="14"/>
  <c r="I7" i="14"/>
  <c r="N50" i="5" l="1"/>
  <c r="T28" i="5"/>
  <c r="I19" i="5"/>
  <c r="I16" i="5"/>
  <c r="I10" i="5"/>
  <c r="I4" i="5"/>
  <c r="T37" i="11"/>
  <c r="T34" i="11"/>
  <c r="T31" i="11"/>
  <c r="T28" i="11"/>
  <c r="T25" i="11"/>
  <c r="T22" i="11"/>
  <c r="T13" i="11"/>
  <c r="T10" i="11"/>
  <c r="T7" i="11"/>
  <c r="T4" i="11"/>
  <c r="I46" i="11"/>
  <c r="I10" i="11"/>
  <c r="I7" i="11"/>
  <c r="N50" i="2"/>
  <c r="N50" i="4"/>
  <c r="T31" i="4"/>
  <c r="T13" i="4"/>
  <c r="T10" i="4"/>
  <c r="T7" i="4"/>
  <c r="T4" i="4"/>
  <c r="I10" i="4"/>
  <c r="I7" i="4"/>
  <c r="T43" i="3"/>
  <c r="T37" i="3"/>
  <c r="T34" i="3"/>
  <c r="T31" i="3"/>
  <c r="T28" i="3"/>
  <c r="T25" i="3"/>
  <c r="T22" i="3"/>
  <c r="I40" i="3"/>
  <c r="I37" i="3"/>
  <c r="I34" i="3"/>
  <c r="I31" i="3"/>
  <c r="I28" i="3"/>
  <c r="I19" i="3" l="1"/>
  <c r="I16" i="3"/>
  <c r="I13" i="3"/>
  <c r="I10" i="3"/>
  <c r="I7" i="3"/>
  <c r="S50" i="15" l="1"/>
  <c r="X39" i="15" s="1"/>
  <c r="O50" i="15"/>
  <c r="X38" i="15" s="1"/>
  <c r="I49" i="15"/>
  <c r="T46" i="15"/>
  <c r="I46" i="15"/>
  <c r="T43" i="15"/>
  <c r="I43" i="15"/>
  <c r="X42" i="15"/>
  <c r="X41" i="15"/>
  <c r="T40" i="15"/>
  <c r="T37" i="15"/>
  <c r="T34" i="15"/>
  <c r="I34" i="15"/>
  <c r="T31" i="15"/>
  <c r="T28" i="15"/>
  <c r="I28" i="15"/>
  <c r="T25" i="15"/>
  <c r="T22" i="15"/>
  <c r="I22" i="15"/>
  <c r="T19" i="15"/>
  <c r="I19" i="15"/>
  <c r="T16" i="15"/>
  <c r="I16" i="15"/>
  <c r="T13" i="15"/>
  <c r="I13" i="15"/>
  <c r="T10" i="15"/>
  <c r="I10" i="15"/>
  <c r="W7" i="15"/>
  <c r="L50" i="15" s="1"/>
  <c r="T7" i="15"/>
  <c r="A7" i="15"/>
  <c r="A10" i="15" s="1"/>
  <c r="A13" i="15" s="1"/>
  <c r="A16" i="15" s="1"/>
  <c r="A19" i="15" s="1"/>
  <c r="A22" i="15" s="1"/>
  <c r="A25" i="15" s="1"/>
  <c r="A28" i="15" s="1"/>
  <c r="A31" i="15" s="1"/>
  <c r="A34" i="15" s="1"/>
  <c r="A37" i="15" s="1"/>
  <c r="A40" i="15" s="1"/>
  <c r="A43" i="15" s="1"/>
  <c r="A46" i="15" s="1"/>
  <c r="A49" i="15" s="1"/>
  <c r="L4" i="15" s="1"/>
  <c r="L7" i="15" s="1"/>
  <c r="L10" i="15" s="1"/>
  <c r="L13" i="15" s="1"/>
  <c r="L16" i="15" s="1"/>
  <c r="L19" i="15" s="1"/>
  <c r="L22" i="15" s="1"/>
  <c r="L25" i="15" s="1"/>
  <c r="L28" i="15" s="1"/>
  <c r="L31" i="15" s="1"/>
  <c r="L34" i="15" s="1"/>
  <c r="L37" i="15" s="1"/>
  <c r="L40" i="15" s="1"/>
  <c r="L43" i="15" s="1"/>
  <c r="T4" i="15"/>
  <c r="I4" i="15"/>
  <c r="S50" i="14"/>
  <c r="X39" i="14" s="1"/>
  <c r="O50" i="14"/>
  <c r="X38" i="14" s="1"/>
  <c r="I49" i="14"/>
  <c r="T46" i="14"/>
  <c r="I46" i="14"/>
  <c r="I43" i="14"/>
  <c r="X42" i="14"/>
  <c r="X41" i="14"/>
  <c r="T40" i="14"/>
  <c r="T37" i="14"/>
  <c r="I25" i="14"/>
  <c r="I22" i="14"/>
  <c r="T19" i="14"/>
  <c r="T16" i="14"/>
  <c r="W7" i="14"/>
  <c r="L50" i="14" s="1"/>
  <c r="A7" i="14"/>
  <c r="A10" i="14" s="1"/>
  <c r="A13" i="14" s="1"/>
  <c r="A16" i="14" s="1"/>
  <c r="A19" i="14" s="1"/>
  <c r="A22" i="14" s="1"/>
  <c r="A25" i="14" s="1"/>
  <c r="A28" i="14" s="1"/>
  <c r="A31" i="14" s="1"/>
  <c r="A34" i="14" s="1"/>
  <c r="A37" i="14" s="1"/>
  <c r="A40" i="14" s="1"/>
  <c r="A43" i="14" s="1"/>
  <c r="A46" i="14" s="1"/>
  <c r="A49" i="14" s="1"/>
  <c r="L4" i="14" s="1"/>
  <c r="L7" i="14" s="1"/>
  <c r="L10" i="14" s="1"/>
  <c r="L13" i="14" s="1"/>
  <c r="L16" i="14" s="1"/>
  <c r="L19" i="14" s="1"/>
  <c r="L22" i="14" s="1"/>
  <c r="L25" i="14" s="1"/>
  <c r="L28" i="14" s="1"/>
  <c r="L31" i="14" s="1"/>
  <c r="L34" i="14" s="1"/>
  <c r="L37" i="14" s="1"/>
  <c r="L40" i="14" s="1"/>
  <c r="L43" i="14" s="1"/>
  <c r="I4" i="14"/>
  <c r="N50" i="15" l="1"/>
  <c r="X37" i="15" s="1"/>
  <c r="N50" i="14"/>
  <c r="X37" i="14" s="1"/>
  <c r="S50" i="13"/>
  <c r="X39" i="13" s="1"/>
  <c r="O50" i="13"/>
  <c r="X38" i="13" s="1"/>
  <c r="I49" i="13"/>
  <c r="T46" i="13"/>
  <c r="I46" i="13"/>
  <c r="T43" i="13"/>
  <c r="I43" i="13"/>
  <c r="X42" i="13"/>
  <c r="T40" i="13"/>
  <c r="T37" i="13"/>
  <c r="I37" i="13"/>
  <c r="T34" i="13"/>
  <c r="I34" i="13"/>
  <c r="T31" i="13"/>
  <c r="I31" i="13"/>
  <c r="T28" i="13"/>
  <c r="I28" i="13"/>
  <c r="T25" i="13"/>
  <c r="I25" i="13"/>
  <c r="T22" i="13"/>
  <c r="I22" i="13"/>
  <c r="T19" i="13"/>
  <c r="I19" i="13"/>
  <c r="T16" i="13"/>
  <c r="I16" i="13"/>
  <c r="T13" i="13"/>
  <c r="I13" i="13"/>
  <c r="T10" i="13"/>
  <c r="I10" i="13"/>
  <c r="W7" i="13"/>
  <c r="L50" i="13" s="1"/>
  <c r="T7" i="13"/>
  <c r="I7" i="13"/>
  <c r="A7" i="13"/>
  <c r="A10" i="13" s="1"/>
  <c r="A13" i="13" s="1"/>
  <c r="A16" i="13" s="1"/>
  <c r="A19" i="13" s="1"/>
  <c r="A22" i="13" s="1"/>
  <c r="A25" i="13" s="1"/>
  <c r="A28" i="13" s="1"/>
  <c r="A31" i="13" s="1"/>
  <c r="A34" i="13" s="1"/>
  <c r="A37" i="13" s="1"/>
  <c r="A40" i="13" s="1"/>
  <c r="A43" i="13" s="1"/>
  <c r="A46" i="13" s="1"/>
  <c r="A49" i="13" s="1"/>
  <c r="L4" i="13" s="1"/>
  <c r="L7" i="13" s="1"/>
  <c r="L10" i="13" s="1"/>
  <c r="L13" i="13" s="1"/>
  <c r="L16" i="13" s="1"/>
  <c r="L19" i="13" s="1"/>
  <c r="L22" i="13" s="1"/>
  <c r="L25" i="13" s="1"/>
  <c r="L28" i="13" s="1"/>
  <c r="L31" i="13" s="1"/>
  <c r="L34" i="13" s="1"/>
  <c r="L37" i="13" s="1"/>
  <c r="L40" i="13" s="1"/>
  <c r="L43" i="13" s="1"/>
  <c r="T4" i="13"/>
  <c r="I4" i="13"/>
  <c r="S50" i="12"/>
  <c r="X39" i="12" s="1"/>
  <c r="O50" i="12"/>
  <c r="X38" i="12" s="1"/>
  <c r="I49" i="12"/>
  <c r="T46" i="12"/>
  <c r="I46" i="12"/>
  <c r="T43" i="12"/>
  <c r="I43" i="12"/>
  <c r="T40" i="12"/>
  <c r="I40" i="12"/>
  <c r="I37" i="12"/>
  <c r="I34" i="12"/>
  <c r="T31" i="12"/>
  <c r="I31" i="12"/>
  <c r="T28" i="12"/>
  <c r="I28" i="12"/>
  <c r="T25" i="12"/>
  <c r="I25" i="12"/>
  <c r="T22" i="12"/>
  <c r="I22" i="12"/>
  <c r="T19" i="12"/>
  <c r="I19" i="12"/>
  <c r="T16" i="12"/>
  <c r="I16" i="12"/>
  <c r="T13" i="12"/>
  <c r="I13" i="12"/>
  <c r="T10" i="12"/>
  <c r="I10" i="12"/>
  <c r="T7" i="12"/>
  <c r="A7" i="12"/>
  <c r="A10" i="12" s="1"/>
  <c r="A13" i="12" s="1"/>
  <c r="A16" i="12" s="1"/>
  <c r="A19" i="12" s="1"/>
  <c r="A22" i="12" s="1"/>
  <c r="A25" i="12" s="1"/>
  <c r="A28" i="12" s="1"/>
  <c r="A31" i="12" s="1"/>
  <c r="A34" i="12" s="1"/>
  <c r="A37" i="12" s="1"/>
  <c r="A40" i="12" s="1"/>
  <c r="A43" i="12" s="1"/>
  <c r="A46" i="12" s="1"/>
  <c r="A49" i="12" s="1"/>
  <c r="L4" i="12" s="1"/>
  <c r="L7" i="12" s="1"/>
  <c r="L10" i="12" s="1"/>
  <c r="L13" i="12" s="1"/>
  <c r="L16" i="12" s="1"/>
  <c r="L19" i="12" s="1"/>
  <c r="L22" i="12" s="1"/>
  <c r="L25" i="12" s="1"/>
  <c r="L28" i="12" s="1"/>
  <c r="L31" i="12" s="1"/>
  <c r="L34" i="12" s="1"/>
  <c r="L37" i="12" s="1"/>
  <c r="L40" i="12" s="1"/>
  <c r="L43" i="12" s="1"/>
  <c r="T4" i="12"/>
  <c r="I4" i="12"/>
  <c r="S50" i="10"/>
  <c r="O50" i="10"/>
  <c r="I49" i="10"/>
  <c r="T46" i="10"/>
  <c r="I46" i="10"/>
  <c r="T37" i="10"/>
  <c r="T34" i="10"/>
  <c r="T31" i="10"/>
  <c r="T28" i="10"/>
  <c r="T25" i="10"/>
  <c r="I25" i="10"/>
  <c r="T22" i="10"/>
  <c r="I22" i="10"/>
  <c r="T19" i="10"/>
  <c r="T16" i="10"/>
  <c r="T13" i="10"/>
  <c r="T10" i="10"/>
  <c r="T7" i="10"/>
  <c r="A7" i="10"/>
  <c r="A10" i="10" s="1"/>
  <c r="A13" i="10" s="1"/>
  <c r="A16" i="10" s="1"/>
  <c r="A19" i="10" s="1"/>
  <c r="A22" i="10" s="1"/>
  <c r="A25" i="10" s="1"/>
  <c r="A28" i="10" s="1"/>
  <c r="A31" i="10" s="1"/>
  <c r="A34" i="10" s="1"/>
  <c r="A37" i="10" s="1"/>
  <c r="A40" i="10" s="1"/>
  <c r="A43" i="10" s="1"/>
  <c r="A46" i="10" s="1"/>
  <c r="A49" i="10" s="1"/>
  <c r="L4" i="10" s="1"/>
  <c r="L7" i="10" s="1"/>
  <c r="L10" i="10" s="1"/>
  <c r="L13" i="10" s="1"/>
  <c r="L16" i="10" s="1"/>
  <c r="L19" i="10" s="1"/>
  <c r="L22" i="10" s="1"/>
  <c r="L25" i="10" s="1"/>
  <c r="L28" i="10" s="1"/>
  <c r="L31" i="10" s="1"/>
  <c r="L34" i="10" s="1"/>
  <c r="L37" i="10" s="1"/>
  <c r="L40" i="10" s="1"/>
  <c r="L43" i="10" s="1"/>
  <c r="T4" i="10"/>
  <c r="X42" i="12"/>
  <c r="X41" i="12"/>
  <c r="W7" i="12"/>
  <c r="L50" i="12" s="1"/>
  <c r="N50" i="12" s="1"/>
  <c r="S50" i="9"/>
  <c r="O50" i="9"/>
  <c r="I49" i="9"/>
  <c r="T46" i="9"/>
  <c r="I46" i="9"/>
  <c r="T43" i="9"/>
  <c r="I43" i="9"/>
  <c r="T40" i="9"/>
  <c r="I40" i="9"/>
  <c r="T37" i="9"/>
  <c r="I37" i="9"/>
  <c r="T34" i="9"/>
  <c r="T31" i="9"/>
  <c r="I31" i="9"/>
  <c r="T28" i="9"/>
  <c r="I28" i="9"/>
  <c r="T25" i="9"/>
  <c r="I25" i="9"/>
  <c r="T22" i="9"/>
  <c r="I22" i="9"/>
  <c r="T19" i="9"/>
  <c r="I19" i="9"/>
  <c r="T16" i="9"/>
  <c r="I16" i="9"/>
  <c r="T13" i="9"/>
  <c r="T10" i="9"/>
  <c r="A7" i="9"/>
  <c r="A10" i="9" s="1"/>
  <c r="A13" i="9" s="1"/>
  <c r="A16" i="9" s="1"/>
  <c r="A19" i="9" s="1"/>
  <c r="A22" i="9" s="1"/>
  <c r="A25" i="9" s="1"/>
  <c r="A28" i="9" s="1"/>
  <c r="A31" i="9" s="1"/>
  <c r="A34" i="9" s="1"/>
  <c r="A37" i="9" s="1"/>
  <c r="A40" i="9" s="1"/>
  <c r="A43" i="9" s="1"/>
  <c r="A46" i="9" s="1"/>
  <c r="A49" i="9" s="1"/>
  <c r="L4" i="9" s="1"/>
  <c r="L7" i="9" s="1"/>
  <c r="L10" i="9" s="1"/>
  <c r="L13" i="9" s="1"/>
  <c r="L16" i="9" s="1"/>
  <c r="L19" i="9" s="1"/>
  <c r="L22" i="9" s="1"/>
  <c r="L25" i="9" s="1"/>
  <c r="L28" i="9" s="1"/>
  <c r="L31" i="9" s="1"/>
  <c r="L34" i="9" s="1"/>
  <c r="L37" i="9" s="1"/>
  <c r="L40" i="9" s="1"/>
  <c r="L43" i="9" s="1"/>
  <c r="T4" i="9"/>
  <c r="I4" i="9"/>
  <c r="S50" i="8"/>
  <c r="O50" i="8"/>
  <c r="I49" i="8"/>
  <c r="T46" i="8"/>
  <c r="I46" i="8"/>
  <c r="T43" i="8"/>
  <c r="I43" i="8"/>
  <c r="T40" i="8"/>
  <c r="T37" i="8"/>
  <c r="T34" i="8"/>
  <c r="T31" i="8"/>
  <c r="T28" i="8"/>
  <c r="T25" i="8"/>
  <c r="T22" i="8"/>
  <c r="I22" i="8"/>
  <c r="T19" i="8"/>
  <c r="I19" i="8"/>
  <c r="I16" i="8"/>
  <c r="I13" i="8"/>
  <c r="I10" i="8"/>
  <c r="I7" i="8"/>
  <c r="A7" i="8"/>
  <c r="A10" i="8" s="1"/>
  <c r="A13" i="8" s="1"/>
  <c r="A16" i="8" s="1"/>
  <c r="A19" i="8" s="1"/>
  <c r="A22" i="8" s="1"/>
  <c r="A25" i="8" s="1"/>
  <c r="A28" i="8" s="1"/>
  <c r="A31" i="8" s="1"/>
  <c r="A34" i="8" s="1"/>
  <c r="A37" i="8" s="1"/>
  <c r="A40" i="8" s="1"/>
  <c r="A43" i="8" s="1"/>
  <c r="A46" i="8" s="1"/>
  <c r="A49" i="8" s="1"/>
  <c r="L4" i="8" s="1"/>
  <c r="L7" i="8" s="1"/>
  <c r="L10" i="8" s="1"/>
  <c r="L13" i="8" s="1"/>
  <c r="L16" i="8" s="1"/>
  <c r="L19" i="8" s="1"/>
  <c r="L22" i="8" s="1"/>
  <c r="L25" i="8" s="1"/>
  <c r="L28" i="8" s="1"/>
  <c r="L31" i="8" s="1"/>
  <c r="L34" i="8" s="1"/>
  <c r="L37" i="8" s="1"/>
  <c r="L40" i="8" s="1"/>
  <c r="L43" i="8" s="1"/>
  <c r="I4" i="8"/>
  <c r="S50" i="7"/>
  <c r="O50" i="7"/>
  <c r="I49" i="7"/>
  <c r="T46" i="7"/>
  <c r="I46" i="7"/>
  <c r="I43" i="7"/>
  <c r="T40" i="7"/>
  <c r="I40" i="7"/>
  <c r="T37" i="7"/>
  <c r="I37" i="7"/>
  <c r="I34" i="7"/>
  <c r="I31" i="7"/>
  <c r="I28" i="7"/>
  <c r="I25" i="7"/>
  <c r="T16" i="7"/>
  <c r="T13" i="7"/>
  <c r="T10" i="7"/>
  <c r="T7" i="7"/>
  <c r="I7" i="7"/>
  <c r="A7" i="7"/>
  <c r="A10" i="7" s="1"/>
  <c r="A13" i="7" s="1"/>
  <c r="A16" i="7" s="1"/>
  <c r="A19" i="7" s="1"/>
  <c r="A22" i="7" s="1"/>
  <c r="A25" i="7" s="1"/>
  <c r="A28" i="7" s="1"/>
  <c r="A31" i="7" s="1"/>
  <c r="A34" i="7" s="1"/>
  <c r="A37" i="7" s="1"/>
  <c r="A40" i="7" s="1"/>
  <c r="A43" i="7" s="1"/>
  <c r="A46" i="7" s="1"/>
  <c r="A49" i="7" s="1"/>
  <c r="L4" i="7" s="1"/>
  <c r="L7" i="7" s="1"/>
  <c r="L10" i="7" s="1"/>
  <c r="L13" i="7" s="1"/>
  <c r="L16" i="7" s="1"/>
  <c r="L19" i="7" s="1"/>
  <c r="L22" i="7" s="1"/>
  <c r="L25" i="7" s="1"/>
  <c r="L28" i="7" s="1"/>
  <c r="L31" i="7" s="1"/>
  <c r="L34" i="7" s="1"/>
  <c r="L37" i="7" s="1"/>
  <c r="L40" i="7" s="1"/>
  <c r="L43" i="7" s="1"/>
  <c r="T4" i="7"/>
  <c r="I4" i="7"/>
  <c r="S50" i="6"/>
  <c r="O50" i="6"/>
  <c r="I49" i="6"/>
  <c r="T46" i="6"/>
  <c r="I46" i="6"/>
  <c r="T43" i="6"/>
  <c r="I43" i="6"/>
  <c r="I40" i="6"/>
  <c r="I37" i="6"/>
  <c r="I34" i="6"/>
  <c r="I31" i="6"/>
  <c r="I28" i="6"/>
  <c r="I25" i="6"/>
  <c r="T22" i="6"/>
  <c r="I22" i="6"/>
  <c r="T19" i="6"/>
  <c r="I19" i="6"/>
  <c r="T16" i="6"/>
  <c r="I16" i="6"/>
  <c r="I13" i="6"/>
  <c r="I10" i="6"/>
  <c r="I7" i="6"/>
  <c r="A7" i="6"/>
  <c r="A10" i="6" s="1"/>
  <c r="A13" i="6" s="1"/>
  <c r="A16" i="6" s="1"/>
  <c r="A19" i="6" s="1"/>
  <c r="A22" i="6" s="1"/>
  <c r="A25" i="6" s="1"/>
  <c r="A28" i="6" s="1"/>
  <c r="A31" i="6" s="1"/>
  <c r="A34" i="6" s="1"/>
  <c r="A37" i="6" s="1"/>
  <c r="A40" i="6" s="1"/>
  <c r="A43" i="6" s="1"/>
  <c r="A46" i="6" s="1"/>
  <c r="A49" i="6" s="1"/>
  <c r="L4" i="6" s="1"/>
  <c r="L7" i="6" s="1"/>
  <c r="L10" i="6" s="1"/>
  <c r="L13" i="6" s="1"/>
  <c r="L16" i="6" s="1"/>
  <c r="L19" i="6" s="1"/>
  <c r="L22" i="6" s="1"/>
  <c r="L25" i="6" s="1"/>
  <c r="L28" i="6" s="1"/>
  <c r="L31" i="6" s="1"/>
  <c r="L34" i="6" s="1"/>
  <c r="L37" i="6" s="1"/>
  <c r="L40" i="6" s="1"/>
  <c r="L43" i="6" s="1"/>
  <c r="T4" i="6"/>
  <c r="I4" i="6"/>
  <c r="S50" i="5"/>
  <c r="O50" i="5"/>
  <c r="I49" i="5"/>
  <c r="T46" i="5"/>
  <c r="I46" i="5"/>
  <c r="T43" i="5"/>
  <c r="I43" i="5"/>
  <c r="T40" i="5"/>
  <c r="I40" i="5"/>
  <c r="T37" i="5"/>
  <c r="I37" i="5"/>
  <c r="T34" i="5"/>
  <c r="I34" i="5"/>
  <c r="T31" i="5"/>
  <c r="I31" i="5"/>
  <c r="I28" i="5"/>
  <c r="T25" i="5"/>
  <c r="I25" i="5"/>
  <c r="T22" i="5"/>
  <c r="I22" i="5"/>
  <c r="T19" i="5"/>
  <c r="T16" i="5"/>
  <c r="T13" i="5"/>
  <c r="I13" i="5"/>
  <c r="T10" i="5"/>
  <c r="A10" i="5"/>
  <c r="A13" i="5" s="1"/>
  <c r="A16" i="5" s="1"/>
  <c r="A19" i="5" s="1"/>
  <c r="A22" i="5" s="1"/>
  <c r="A25" i="5" s="1"/>
  <c r="A28" i="5" s="1"/>
  <c r="A31" i="5" s="1"/>
  <c r="A34" i="5" s="1"/>
  <c r="A37" i="5" s="1"/>
  <c r="A40" i="5" s="1"/>
  <c r="A43" i="5" s="1"/>
  <c r="A46" i="5" s="1"/>
  <c r="A49" i="5" s="1"/>
  <c r="L4" i="5" s="1"/>
  <c r="L7" i="5" s="1"/>
  <c r="L10" i="5" s="1"/>
  <c r="L13" i="5" s="1"/>
  <c r="L16" i="5" s="1"/>
  <c r="L19" i="5" s="1"/>
  <c r="L22" i="5" s="1"/>
  <c r="L25" i="5" s="1"/>
  <c r="L28" i="5" s="1"/>
  <c r="L31" i="5" s="1"/>
  <c r="L34" i="5" s="1"/>
  <c r="L37" i="5" s="1"/>
  <c r="L40" i="5" s="1"/>
  <c r="L43" i="5" s="1"/>
  <c r="T7" i="5"/>
  <c r="I7" i="5"/>
  <c r="A7" i="5"/>
  <c r="T4" i="5"/>
  <c r="S50" i="11"/>
  <c r="O50" i="11"/>
  <c r="I49" i="11"/>
  <c r="T46" i="11"/>
  <c r="T43" i="11"/>
  <c r="I43" i="11"/>
  <c r="T40" i="11"/>
  <c r="I40" i="11"/>
  <c r="I37" i="11"/>
  <c r="I34" i="11"/>
  <c r="I31" i="11"/>
  <c r="I28" i="11"/>
  <c r="I25" i="11"/>
  <c r="I22" i="11"/>
  <c r="T19" i="11"/>
  <c r="I19" i="11"/>
  <c r="T16" i="11"/>
  <c r="I16" i="11"/>
  <c r="I13" i="11"/>
  <c r="A7" i="11"/>
  <c r="A10" i="11" s="1"/>
  <c r="A13" i="11" s="1"/>
  <c r="A16" i="11" s="1"/>
  <c r="A19" i="11" s="1"/>
  <c r="A22" i="11" s="1"/>
  <c r="A25" i="11" s="1"/>
  <c r="A28" i="11" s="1"/>
  <c r="A31" i="11" s="1"/>
  <c r="A34" i="11" s="1"/>
  <c r="A37" i="11" s="1"/>
  <c r="A40" i="11" s="1"/>
  <c r="A43" i="11" s="1"/>
  <c r="A46" i="11" s="1"/>
  <c r="A49" i="11" s="1"/>
  <c r="L4" i="11" s="1"/>
  <c r="L7" i="11" s="1"/>
  <c r="L10" i="11" s="1"/>
  <c r="L13" i="11" s="1"/>
  <c r="L16" i="11" s="1"/>
  <c r="L19" i="11" s="1"/>
  <c r="L22" i="11" s="1"/>
  <c r="L25" i="11" s="1"/>
  <c r="L28" i="11" s="1"/>
  <c r="L31" i="11" s="1"/>
  <c r="L34" i="11" s="1"/>
  <c r="L37" i="11" s="1"/>
  <c r="L40" i="11" s="1"/>
  <c r="L43" i="11" s="1"/>
  <c r="I4" i="11"/>
  <c r="S50" i="4"/>
  <c r="O50" i="4"/>
  <c r="I49" i="4"/>
  <c r="T46" i="4"/>
  <c r="I46" i="4"/>
  <c r="T43" i="4"/>
  <c r="I43" i="4"/>
  <c r="T40" i="4"/>
  <c r="I40" i="4"/>
  <c r="T37" i="4"/>
  <c r="I37" i="4"/>
  <c r="T34" i="4"/>
  <c r="I34" i="4"/>
  <c r="I31" i="4"/>
  <c r="T28" i="4"/>
  <c r="I28" i="4"/>
  <c r="T25" i="4"/>
  <c r="I25" i="4"/>
  <c r="T22" i="4"/>
  <c r="I22" i="4"/>
  <c r="T19" i="4"/>
  <c r="I19" i="4"/>
  <c r="T16" i="4"/>
  <c r="I16" i="4"/>
  <c r="I13" i="4"/>
  <c r="A7" i="4"/>
  <c r="A10" i="4" s="1"/>
  <c r="A13" i="4" s="1"/>
  <c r="A16" i="4" s="1"/>
  <c r="A19" i="4" s="1"/>
  <c r="A22" i="4" s="1"/>
  <c r="A25" i="4" s="1"/>
  <c r="A28" i="4" s="1"/>
  <c r="A31" i="4" s="1"/>
  <c r="A34" i="4" s="1"/>
  <c r="A37" i="4" s="1"/>
  <c r="A40" i="4" s="1"/>
  <c r="A43" i="4" s="1"/>
  <c r="A46" i="4" s="1"/>
  <c r="A49" i="4" s="1"/>
  <c r="L4" i="4" s="1"/>
  <c r="L7" i="4" s="1"/>
  <c r="L10" i="4" s="1"/>
  <c r="L13" i="4" s="1"/>
  <c r="L16" i="4" s="1"/>
  <c r="L19" i="4" s="1"/>
  <c r="L22" i="4" s="1"/>
  <c r="L25" i="4" s="1"/>
  <c r="L28" i="4" s="1"/>
  <c r="L31" i="4" s="1"/>
  <c r="L34" i="4" s="1"/>
  <c r="L37" i="4" s="1"/>
  <c r="L40" i="4" s="1"/>
  <c r="L43" i="4" s="1"/>
  <c r="I4" i="4"/>
  <c r="S50" i="3"/>
  <c r="O50" i="3"/>
  <c r="I49" i="3"/>
  <c r="T46" i="3"/>
  <c r="I46" i="3"/>
  <c r="I43" i="3"/>
  <c r="T40" i="3"/>
  <c r="I25" i="3"/>
  <c r="I22" i="3"/>
  <c r="T19" i="3"/>
  <c r="T16" i="3"/>
  <c r="T13" i="3"/>
  <c r="T10" i="3"/>
  <c r="T7" i="3"/>
  <c r="A7" i="3"/>
  <c r="A10" i="3" s="1"/>
  <c r="A13" i="3" s="1"/>
  <c r="A16" i="3" s="1"/>
  <c r="A19" i="3" s="1"/>
  <c r="A22" i="3" s="1"/>
  <c r="A25" i="3" s="1"/>
  <c r="A28" i="3" s="1"/>
  <c r="A31" i="3" s="1"/>
  <c r="A34" i="3" s="1"/>
  <c r="A37" i="3" s="1"/>
  <c r="A40" i="3" s="1"/>
  <c r="A43" i="3" s="1"/>
  <c r="A46" i="3" s="1"/>
  <c r="A49" i="3" s="1"/>
  <c r="L4" i="3" s="1"/>
  <c r="L7" i="3" s="1"/>
  <c r="L10" i="3" s="1"/>
  <c r="L13" i="3" s="1"/>
  <c r="L16" i="3" s="1"/>
  <c r="L19" i="3" s="1"/>
  <c r="L22" i="3" s="1"/>
  <c r="L25" i="3" s="1"/>
  <c r="L28" i="3" s="1"/>
  <c r="L31" i="3" s="1"/>
  <c r="L34" i="3" s="1"/>
  <c r="L37" i="3" s="1"/>
  <c r="L40" i="3" s="1"/>
  <c r="L43" i="3" s="1"/>
  <c r="T4" i="3"/>
  <c r="I4" i="3"/>
  <c r="S50" i="2"/>
  <c r="O50" i="2"/>
  <c r="I49" i="2"/>
  <c r="T46" i="2"/>
  <c r="I46" i="2"/>
  <c r="T43" i="2"/>
  <c r="I43" i="2"/>
  <c r="T40" i="2"/>
  <c r="I40" i="2"/>
  <c r="T37" i="2"/>
  <c r="I37" i="2"/>
  <c r="T34" i="2"/>
  <c r="I34" i="2"/>
  <c r="T31" i="2"/>
  <c r="I31" i="2"/>
  <c r="T28" i="2"/>
  <c r="I28" i="2"/>
  <c r="T25" i="2"/>
  <c r="I25" i="2"/>
  <c r="T22" i="2"/>
  <c r="I22" i="2"/>
  <c r="T19" i="2"/>
  <c r="I19" i="2"/>
  <c r="T16" i="2"/>
  <c r="I16" i="2"/>
  <c r="T13" i="2"/>
  <c r="I13" i="2"/>
  <c r="T10" i="2"/>
  <c r="I10" i="2"/>
  <c r="A10" i="2"/>
  <c r="A13" i="2" s="1"/>
  <c r="A16" i="2" s="1"/>
  <c r="A19" i="2" s="1"/>
  <c r="A22" i="2" s="1"/>
  <c r="A25" i="2" s="1"/>
  <c r="A28" i="2" s="1"/>
  <c r="A31" i="2" s="1"/>
  <c r="A34" i="2" s="1"/>
  <c r="A37" i="2" s="1"/>
  <c r="A40" i="2" s="1"/>
  <c r="A43" i="2" s="1"/>
  <c r="A46" i="2" s="1"/>
  <c r="A49" i="2" s="1"/>
  <c r="L4" i="2" s="1"/>
  <c r="L7" i="2" s="1"/>
  <c r="L10" i="2" s="1"/>
  <c r="L13" i="2" s="1"/>
  <c r="L16" i="2" s="1"/>
  <c r="L19" i="2" s="1"/>
  <c r="L22" i="2" s="1"/>
  <c r="L25" i="2" s="1"/>
  <c r="L28" i="2" s="1"/>
  <c r="L31" i="2" s="1"/>
  <c r="L34" i="2" s="1"/>
  <c r="L37" i="2" s="1"/>
  <c r="L40" i="2" s="1"/>
  <c r="L43" i="2" s="1"/>
  <c r="T7" i="2"/>
  <c r="I7" i="2"/>
  <c r="A7" i="2"/>
  <c r="T4" i="2"/>
  <c r="I4" i="2"/>
  <c r="A7" i="1"/>
  <c r="A10" i="1" s="1"/>
  <c r="A13" i="1" s="1"/>
  <c r="A16" i="1" s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L4" i="1" s="1"/>
  <c r="L7" i="1" s="1"/>
  <c r="L10" i="1" s="1"/>
  <c r="L13" i="1" s="1"/>
  <c r="L16" i="1" s="1"/>
  <c r="L19" i="1" s="1"/>
  <c r="L22" i="1" s="1"/>
  <c r="L25" i="1" s="1"/>
  <c r="L28" i="1" s="1"/>
  <c r="L31" i="1" s="1"/>
  <c r="L34" i="1" s="1"/>
  <c r="L37" i="1" s="1"/>
  <c r="L40" i="1" s="1"/>
  <c r="L43" i="1" s="1"/>
  <c r="L46" i="1" s="1"/>
  <c r="N50" i="13" l="1"/>
  <c r="X37" i="13" s="1"/>
  <c r="X37" i="12"/>
  <c r="X42" i="9"/>
  <c r="X41" i="9"/>
  <c r="X39" i="9"/>
  <c r="X38" i="9"/>
  <c r="W7" i="9"/>
  <c r="W7" i="10"/>
  <c r="L50" i="10" s="1"/>
  <c r="N50" i="10" s="1"/>
  <c r="X41" i="10"/>
  <c r="W7" i="8"/>
  <c r="X39" i="7"/>
  <c r="X42" i="7"/>
  <c r="X41" i="7"/>
  <c r="X38" i="7"/>
  <c r="W7" i="7"/>
  <c r="X39" i="11"/>
  <c r="X41" i="4"/>
  <c r="X41" i="6"/>
  <c r="X39" i="6"/>
  <c r="X42" i="6"/>
  <c r="X38" i="6"/>
  <c r="W7" i="6"/>
  <c r="X39" i="5"/>
  <c r="X39" i="3"/>
  <c r="X42" i="11"/>
  <c r="X41" i="11"/>
  <c r="X38" i="11"/>
  <c r="W7" i="11"/>
  <c r="L50" i="11" s="1"/>
  <c r="N50" i="11" s="1"/>
  <c r="X39" i="4"/>
  <c r="X42" i="4"/>
  <c r="X38" i="4"/>
  <c r="W7" i="4"/>
  <c r="L50" i="4" s="1"/>
  <c r="X38" i="3"/>
  <c r="X42" i="3"/>
  <c r="X41" i="3"/>
  <c r="W7" i="3"/>
  <c r="X38" i="2"/>
  <c r="X39" i="2"/>
  <c r="W7" i="2"/>
  <c r="X42" i="2"/>
  <c r="X41" i="2"/>
  <c r="W7" i="5"/>
  <c r="X38" i="5"/>
  <c r="X42" i="5"/>
  <c r="X41" i="5"/>
  <c r="L50" i="9" l="1"/>
  <c r="N50" i="9" s="1"/>
  <c r="X37" i="9" s="1"/>
  <c r="L50" i="8"/>
  <c r="L50" i="7"/>
  <c r="L50" i="6"/>
  <c r="L50" i="5"/>
  <c r="X37" i="11"/>
  <c r="L50" i="3"/>
  <c r="N50" i="3" s="1"/>
  <c r="X37" i="3" s="1"/>
  <c r="L50" i="2"/>
  <c r="X37" i="4"/>
  <c r="L50" i="1"/>
  <c r="N50" i="1" s="1"/>
  <c r="X37" i="1" s="1"/>
  <c r="W7" i="1"/>
  <c r="X39" i="1"/>
  <c r="X38" i="1"/>
  <c r="S50" i="1"/>
  <c r="O50" i="1"/>
  <c r="I49" i="1"/>
  <c r="T46" i="1"/>
  <c r="I46" i="1"/>
  <c r="T43" i="1"/>
  <c r="I43" i="1"/>
  <c r="T40" i="1"/>
  <c r="I40" i="1"/>
  <c r="T37" i="1"/>
  <c r="I37" i="1"/>
  <c r="T34" i="1"/>
  <c r="I34" i="1"/>
  <c r="T31" i="1"/>
  <c r="I31" i="1"/>
  <c r="T28" i="1"/>
  <c r="I28" i="1"/>
  <c r="T25" i="1"/>
  <c r="I25" i="1"/>
  <c r="T22" i="1"/>
  <c r="I22" i="1"/>
  <c r="T19" i="1"/>
  <c r="I19" i="1"/>
  <c r="T16" i="1"/>
  <c r="I16" i="1"/>
  <c r="T13" i="1"/>
  <c r="I13" i="1"/>
  <c r="T10" i="1"/>
  <c r="I10" i="1"/>
  <c r="T7" i="1"/>
  <c r="I7" i="1"/>
  <c r="T4" i="1"/>
  <c r="I4" i="1"/>
  <c r="N50" i="7" l="1"/>
  <c r="X37" i="7" s="1"/>
  <c r="N50" i="6"/>
  <c r="X37" i="6" s="1"/>
  <c r="X37" i="5"/>
  <c r="X37" i="2"/>
  <c r="X40" i="2"/>
  <c r="U53" i="2" s="1"/>
  <c r="U53" i="3"/>
  <c r="X40" i="3"/>
  <c r="X40" i="4"/>
  <c r="U53" i="4"/>
  <c r="X40" i="11"/>
  <c r="U53" i="11" s="1"/>
  <c r="X40" i="5"/>
  <c r="U53" i="5" s="1"/>
  <c r="U53" i="14"/>
  <c r="X40" i="14"/>
  <c r="U53" i="6"/>
  <c r="X40" i="6"/>
  <c r="X40" i="7"/>
  <c r="U53" i="7" s="1"/>
  <c r="X40" i="9"/>
  <c r="U53" i="9" s="1"/>
  <c r="X40" i="12"/>
  <c r="U53" i="12"/>
  <c r="U53" i="13"/>
  <c r="U53" i="15"/>
  <c r="X40" i="15"/>
  <c r="U50" i="13" l="1"/>
  <c r="S53" i="1"/>
  <c r="X42" i="1"/>
  <c r="X40" i="8"/>
  <c r="U50" i="8"/>
  <c r="U50" i="1"/>
  <c r="X40" i="1"/>
  <c r="U53" i="1"/>
  <c r="X41" i="1"/>
  <c r="Q53" i="1"/>
</calcChain>
</file>

<file path=xl/sharedStrings.xml><?xml version="1.0" encoding="utf-8"?>
<sst xmlns="http://schemas.openxmlformats.org/spreadsheetml/2006/main" count="4608" uniqueCount="314">
  <si>
    <t>ポイント明細表</t>
    <rPh sb="4" eb="6">
      <t>メイサイ</t>
    </rPh>
    <rPh sb="6" eb="7">
      <t>ヒョウ</t>
    </rPh>
    <phoneticPr fontId="1"/>
  </si>
  <si>
    <t>日付</t>
    <rPh sb="0" eb="2">
      <t>ヒヅケ</t>
    </rPh>
    <phoneticPr fontId="1"/>
  </si>
  <si>
    <t>運行行程</t>
    <rPh sb="0" eb="2">
      <t>ウンコウ</t>
    </rPh>
    <rPh sb="2" eb="4">
      <t>コウテイ</t>
    </rPh>
    <phoneticPr fontId="1"/>
  </si>
  <si>
    <t>①</t>
    <phoneticPr fontId="1"/>
  </si>
  <si>
    <t>②</t>
    <phoneticPr fontId="1"/>
  </si>
  <si>
    <t>③</t>
    <phoneticPr fontId="1"/>
  </si>
  <si>
    <t>備考</t>
    <rPh sb="0" eb="2">
      <t>ビコウ</t>
    </rPh>
    <phoneticPr fontId="1"/>
  </si>
  <si>
    <t>基本ﾎﾟｲﾝﾄ</t>
    <rPh sb="0" eb="2">
      <t>キホン</t>
    </rPh>
    <phoneticPr fontId="1"/>
  </si>
  <si>
    <t>追加ポイント</t>
    <rPh sb="0" eb="2">
      <t>ツイカ</t>
    </rPh>
    <phoneticPr fontId="1"/>
  </si>
  <si>
    <t>合計ﾎﾟｲﾝﾄ</t>
    <rPh sb="0" eb="2">
      <t>ゴウケイ</t>
    </rPh>
    <phoneticPr fontId="1"/>
  </si>
  <si>
    <t>荷姿</t>
    <rPh sb="0" eb="2">
      <t>ニスガタ</t>
    </rPh>
    <phoneticPr fontId="1"/>
  </si>
  <si>
    <t>稼働日数</t>
    <rPh sb="0" eb="4">
      <t>カドウニッスウ</t>
    </rPh>
    <phoneticPr fontId="1"/>
  </si>
  <si>
    <t>日</t>
    <rPh sb="0" eb="1">
      <t>ニチ</t>
    </rPh>
    <phoneticPr fontId="1"/>
  </si>
  <si>
    <t>バラ</t>
    <phoneticPr fontId="1"/>
  </si>
  <si>
    <t>P/L</t>
    <phoneticPr fontId="1"/>
  </si>
  <si>
    <t>基本ﾎﾟｲﾝﾄ合計</t>
    <rPh sb="0" eb="2">
      <t>キホン</t>
    </rPh>
    <rPh sb="7" eb="9">
      <t>ゴウケイ</t>
    </rPh>
    <phoneticPr fontId="1"/>
  </si>
  <si>
    <t>追加ポイント合計</t>
    <rPh sb="0" eb="2">
      <t>ツイカ</t>
    </rPh>
    <rPh sb="6" eb="8">
      <t>ゴウケイ</t>
    </rPh>
    <phoneticPr fontId="1"/>
  </si>
  <si>
    <t>ポイント合計</t>
    <rPh sb="4" eb="6">
      <t>ゴウケイ</t>
    </rPh>
    <phoneticPr fontId="1"/>
  </si>
  <si>
    <t>名前</t>
    <rPh sb="0" eb="2">
      <t>ナマエ</t>
    </rPh>
    <phoneticPr fontId="1"/>
  </si>
  <si>
    <t>かご台車</t>
    <rPh sb="2" eb="4">
      <t>ダイシャ</t>
    </rPh>
    <phoneticPr fontId="1"/>
  </si>
  <si>
    <t>岡田 悠嗣</t>
    <rPh sb="0" eb="2">
      <t>オカダ</t>
    </rPh>
    <rPh sb="3" eb="4">
      <t>ユウ</t>
    </rPh>
    <rPh sb="4" eb="5">
      <t>シ</t>
    </rPh>
    <phoneticPr fontId="1"/>
  </si>
  <si>
    <t>出勤加算ポイント※21日以上</t>
    <rPh sb="0" eb="2">
      <t>シュッキン</t>
    </rPh>
    <rPh sb="2" eb="4">
      <t>カサン</t>
    </rPh>
    <rPh sb="11" eb="12">
      <t>ニチ</t>
    </rPh>
    <rPh sb="12" eb="14">
      <t>イジョウ</t>
    </rPh>
    <phoneticPr fontId="1"/>
  </si>
  <si>
    <t>配車貢献ポイント</t>
    <rPh sb="0" eb="2">
      <t>ハイシャ</t>
    </rPh>
    <rPh sb="2" eb="4">
      <t>コウケン</t>
    </rPh>
    <phoneticPr fontId="1"/>
  </si>
  <si>
    <t>愛車ポイント</t>
    <rPh sb="0" eb="2">
      <t>アイシャ</t>
    </rPh>
    <phoneticPr fontId="1"/>
  </si>
  <si>
    <t>無事故(車両・荷物)ポイント</t>
    <rPh sb="0" eb="3">
      <t>ムジコ</t>
    </rPh>
    <rPh sb="4" eb="6">
      <t>シャリョウ</t>
    </rPh>
    <rPh sb="7" eb="9">
      <t>ニモツ</t>
    </rPh>
    <phoneticPr fontId="1"/>
  </si>
  <si>
    <t>/10000</t>
    <phoneticPr fontId="1"/>
  </si>
  <si>
    <t>/30000</t>
    <phoneticPr fontId="1"/>
  </si>
  <si>
    <t>有給残日数</t>
    <rPh sb="0" eb="2">
      <t>ユウキュウ</t>
    </rPh>
    <rPh sb="2" eb="5">
      <t>ザンニッスウ</t>
    </rPh>
    <phoneticPr fontId="1"/>
  </si>
  <si>
    <t>次回有給取得日</t>
    <rPh sb="0" eb="7">
      <t>ジカイユウキュウシュトクビ</t>
    </rPh>
    <phoneticPr fontId="1"/>
  </si>
  <si>
    <t>0　日</t>
    <rPh sb="2" eb="3">
      <t>ニチ</t>
    </rPh>
    <phoneticPr fontId="1"/>
  </si>
  <si>
    <t>高丸　憲明</t>
    <phoneticPr fontId="1"/>
  </si>
  <si>
    <t>殿村　悠樹</t>
    <phoneticPr fontId="1"/>
  </si>
  <si>
    <t>田邊　和也</t>
    <phoneticPr fontId="1"/>
  </si>
  <si>
    <t>青山　達哉</t>
    <phoneticPr fontId="1"/>
  </si>
  <si>
    <t>辻　正則</t>
    <phoneticPr fontId="1"/>
  </si>
  <si>
    <t>立脇　謙二</t>
    <phoneticPr fontId="1"/>
  </si>
  <si>
    <t>宮富　智之</t>
    <phoneticPr fontId="1"/>
  </si>
  <si>
    <t>久保　進一</t>
    <phoneticPr fontId="1"/>
  </si>
  <si>
    <t>水原　靖仁</t>
    <phoneticPr fontId="1"/>
  </si>
  <si>
    <t>10日</t>
    <rPh sb="2" eb="3">
      <t>ニチ</t>
    </rPh>
    <phoneticPr fontId="1"/>
  </si>
  <si>
    <t>10　日</t>
    <rPh sb="3" eb="4">
      <t>ニチ</t>
    </rPh>
    <phoneticPr fontId="1"/>
  </si>
  <si>
    <t>米田　裕基</t>
    <rPh sb="0" eb="2">
      <t>ヨネダ</t>
    </rPh>
    <rPh sb="3" eb="4">
      <t>ユウ</t>
    </rPh>
    <rPh sb="4" eb="5">
      <t>モトイ</t>
    </rPh>
    <phoneticPr fontId="1"/>
  </si>
  <si>
    <t>柳澤　誠</t>
    <rPh sb="0" eb="2">
      <t>ヤナギサワ</t>
    </rPh>
    <rPh sb="3" eb="4">
      <t>マコト</t>
    </rPh>
    <phoneticPr fontId="1"/>
  </si>
  <si>
    <t>殿村　徹也</t>
    <rPh sb="0" eb="2">
      <t>トノムラ</t>
    </rPh>
    <rPh sb="3" eb="5">
      <t>テツヤ</t>
    </rPh>
    <phoneticPr fontId="1"/>
  </si>
  <si>
    <t>粟田　晶伍</t>
    <rPh sb="0" eb="2">
      <t>アワタ</t>
    </rPh>
    <rPh sb="3" eb="4">
      <t>アキラ</t>
    </rPh>
    <rPh sb="4" eb="5">
      <t>ゴ</t>
    </rPh>
    <phoneticPr fontId="1"/>
  </si>
  <si>
    <t>9日</t>
    <rPh sb="1" eb="2">
      <t>ニチ</t>
    </rPh>
    <phoneticPr fontId="1"/>
  </si>
  <si>
    <t>9　日</t>
    <rPh sb="2" eb="3">
      <t>ニチ</t>
    </rPh>
    <phoneticPr fontId="1"/>
  </si>
  <si>
    <t>8日</t>
    <rPh sb="1" eb="2">
      <t>ニチ</t>
    </rPh>
    <phoneticPr fontId="1"/>
  </si>
  <si>
    <t>休み</t>
    <rPh sb="0" eb="1">
      <t>ヤス</t>
    </rPh>
    <phoneticPr fontId="1"/>
  </si>
  <si>
    <t>住之江区～神戸市須磨区</t>
    <rPh sb="0" eb="4">
      <t>スミノエク</t>
    </rPh>
    <rPh sb="5" eb="8">
      <t>コウベシ</t>
    </rPh>
    <rPh sb="8" eb="11">
      <t>スマク</t>
    </rPh>
    <phoneticPr fontId="1"/>
  </si>
  <si>
    <t>岸和田市～住之江区</t>
    <rPh sb="0" eb="4">
      <t>キシワダシ</t>
    </rPh>
    <rPh sb="5" eb="9">
      <t>スミノエク</t>
    </rPh>
    <phoneticPr fontId="1"/>
  </si>
  <si>
    <t>P/L</t>
  </si>
  <si>
    <t>リフト作業</t>
    <rPh sb="3" eb="5">
      <t>サギョウ</t>
    </rPh>
    <phoneticPr fontId="1"/>
  </si>
  <si>
    <t>東大阪市～泉大津市</t>
    <rPh sb="0" eb="4">
      <t>ヒガシオオサカシ</t>
    </rPh>
    <rPh sb="5" eb="9">
      <t>イズミオオツシ</t>
    </rPh>
    <phoneticPr fontId="1"/>
  </si>
  <si>
    <t>門真市～関西空港</t>
    <rPh sb="0" eb="3">
      <t>カドマシ</t>
    </rPh>
    <rPh sb="4" eb="8">
      <t>カンサイクウコウ</t>
    </rPh>
    <phoneticPr fontId="1"/>
  </si>
  <si>
    <t>和泉市～大東市</t>
    <rPh sb="0" eb="3">
      <t>イズミシ</t>
    </rPh>
    <rPh sb="4" eb="7">
      <t>ダイトウシ</t>
    </rPh>
    <phoneticPr fontId="1"/>
  </si>
  <si>
    <t>東大阪市～住之江区</t>
    <rPh sb="0" eb="4">
      <t>ヒガシオオサカシ</t>
    </rPh>
    <rPh sb="5" eb="9">
      <t>スミノエク</t>
    </rPh>
    <phoneticPr fontId="1"/>
  </si>
  <si>
    <t>東大阪市～港区・住之江区</t>
    <rPh sb="0" eb="4">
      <t>ヒガシオオサカシ</t>
    </rPh>
    <rPh sb="5" eb="7">
      <t>ミナトク</t>
    </rPh>
    <rPh sb="8" eb="12">
      <t>スミノエク</t>
    </rPh>
    <phoneticPr fontId="1"/>
  </si>
  <si>
    <t>住之江区～東大阪市</t>
    <rPh sb="0" eb="4">
      <t>スミノエク</t>
    </rPh>
    <rPh sb="5" eb="9">
      <t>ヒガシオオサカシ</t>
    </rPh>
    <phoneticPr fontId="1"/>
  </si>
  <si>
    <t>門真市～西尾市</t>
    <rPh sb="0" eb="3">
      <t>カドマシ</t>
    </rPh>
    <rPh sb="4" eb="7">
      <t>ニシオシ</t>
    </rPh>
    <phoneticPr fontId="1"/>
  </si>
  <si>
    <t>出勤加算ポイント※22日以上</t>
    <rPh sb="0" eb="2">
      <t>シュッキン</t>
    </rPh>
    <rPh sb="2" eb="4">
      <t>カサン</t>
    </rPh>
    <rPh sb="11" eb="12">
      <t>ニチ</t>
    </rPh>
    <rPh sb="12" eb="14">
      <t>イジョウ</t>
    </rPh>
    <phoneticPr fontId="1"/>
  </si>
  <si>
    <t>春日井市～東大阪市</t>
    <rPh sb="0" eb="4">
      <t>カスガイシ</t>
    </rPh>
    <rPh sb="5" eb="9">
      <t>ヒガシオオサカシ</t>
    </rPh>
    <phoneticPr fontId="1"/>
  </si>
  <si>
    <t>淀川区～小牧市</t>
    <rPh sb="0" eb="3">
      <t>ヨドガワク</t>
    </rPh>
    <rPh sb="4" eb="7">
      <t>コマキシ</t>
    </rPh>
    <phoneticPr fontId="1"/>
  </si>
  <si>
    <t>安城市～鶴見区②</t>
    <rPh sb="0" eb="3">
      <t>アンジョウシ</t>
    </rPh>
    <rPh sb="4" eb="7">
      <t>ツルミク</t>
    </rPh>
    <phoneticPr fontId="1"/>
  </si>
  <si>
    <t>東大阪市～西宮市</t>
    <rPh sb="0" eb="4">
      <t>ヒガシオオサカシ</t>
    </rPh>
    <rPh sb="5" eb="8">
      <t>ニシノミヤシ</t>
    </rPh>
    <phoneticPr fontId="1"/>
  </si>
  <si>
    <t>東大阪市～大阪市港区</t>
    <rPh sb="0" eb="4">
      <t>ヒガシオオサカシ</t>
    </rPh>
    <rPh sb="5" eb="8">
      <t>オオサカシ</t>
    </rPh>
    <rPh sb="8" eb="10">
      <t>ミナトク</t>
    </rPh>
    <phoneticPr fontId="1"/>
  </si>
  <si>
    <t>茨木市～尼崎市</t>
    <rPh sb="0" eb="3">
      <t>イバラキシ</t>
    </rPh>
    <rPh sb="4" eb="7">
      <t>アマガサキシ</t>
    </rPh>
    <phoneticPr fontId="1"/>
  </si>
  <si>
    <t>港区～小牧市</t>
    <rPh sb="0" eb="2">
      <t>ミナトク</t>
    </rPh>
    <rPh sb="3" eb="6">
      <t>コマキシ</t>
    </rPh>
    <phoneticPr fontId="1"/>
  </si>
  <si>
    <t>加茂郡②～貝塚市</t>
    <rPh sb="0" eb="3">
      <t>カモグン</t>
    </rPh>
    <rPh sb="5" eb="8">
      <t>カイヅカシ</t>
    </rPh>
    <phoneticPr fontId="1"/>
  </si>
  <si>
    <t>大阪市港区～小牧市</t>
    <rPh sb="0" eb="3">
      <t>オオサカシ</t>
    </rPh>
    <rPh sb="3" eb="5">
      <t>ミナトク</t>
    </rPh>
    <rPh sb="6" eb="9">
      <t>コマキシ</t>
    </rPh>
    <phoneticPr fontId="1"/>
  </si>
  <si>
    <t>名古屋市守山区～丹波市</t>
    <rPh sb="0" eb="4">
      <t>ナゴヤシ</t>
    </rPh>
    <rPh sb="4" eb="7">
      <t>モリヤマク</t>
    </rPh>
    <rPh sb="8" eb="11">
      <t>タンバシ</t>
    </rPh>
    <phoneticPr fontId="1"/>
  </si>
  <si>
    <t>神戸市西区～堺市</t>
    <rPh sb="0" eb="3">
      <t>コウベシ</t>
    </rPh>
    <rPh sb="3" eb="5">
      <t>ニシク</t>
    </rPh>
    <rPh sb="6" eb="8">
      <t>サカイシ</t>
    </rPh>
    <phoneticPr fontId="1"/>
  </si>
  <si>
    <t>西宮市～八幡市</t>
    <rPh sb="0" eb="3">
      <t>ニシノミヤシ</t>
    </rPh>
    <rPh sb="4" eb="7">
      <t>ヤハタシ</t>
    </rPh>
    <phoneticPr fontId="1"/>
  </si>
  <si>
    <t>東大阪市～茨木市②</t>
    <rPh sb="0" eb="4">
      <t>ヒガシオオサカシ</t>
    </rPh>
    <rPh sb="5" eb="8">
      <t>イバラキシ</t>
    </rPh>
    <phoneticPr fontId="1"/>
  </si>
  <si>
    <t>門真市～小野市</t>
    <rPh sb="0" eb="3">
      <t>カドマシ</t>
    </rPh>
    <rPh sb="4" eb="7">
      <t>オノシ</t>
    </rPh>
    <phoneticPr fontId="1"/>
  </si>
  <si>
    <t>和歌山市～大東市</t>
    <rPh sb="0" eb="4">
      <t>ワカヤマシ</t>
    </rPh>
    <rPh sb="5" eb="8">
      <t>ダイトウシ</t>
    </rPh>
    <phoneticPr fontId="1"/>
  </si>
  <si>
    <t>八尾市～尼崎市</t>
    <rPh sb="0" eb="3">
      <t>ヤオシ</t>
    </rPh>
    <rPh sb="4" eb="7">
      <t>アマガサキシ</t>
    </rPh>
    <phoneticPr fontId="1"/>
  </si>
  <si>
    <t>東灘区～丹羽郡大口町</t>
    <rPh sb="0" eb="3">
      <t>ヒガシナダク</t>
    </rPh>
    <rPh sb="4" eb="7">
      <t>ニワグン</t>
    </rPh>
    <rPh sb="7" eb="10">
      <t>オオグチチョウ</t>
    </rPh>
    <phoneticPr fontId="1"/>
  </si>
  <si>
    <t>加茂郡～貝塚市</t>
    <rPh sb="0" eb="3">
      <t>カモグン</t>
    </rPh>
    <rPh sb="4" eb="7">
      <t>カイヅカシ</t>
    </rPh>
    <phoneticPr fontId="1"/>
  </si>
  <si>
    <t>堺市～西宮市</t>
    <rPh sb="0" eb="2">
      <t>サカイシ</t>
    </rPh>
    <rPh sb="3" eb="6">
      <t>ニシノミヤシ</t>
    </rPh>
    <phoneticPr fontId="1"/>
  </si>
  <si>
    <t>東大阪市～堺市</t>
    <rPh sb="0" eb="4">
      <t>ヒガシオオサカシ</t>
    </rPh>
    <rPh sb="5" eb="7">
      <t>サカイシ</t>
    </rPh>
    <phoneticPr fontId="1"/>
  </si>
  <si>
    <t>東大阪市～茨木市③</t>
    <rPh sb="0" eb="4">
      <t>ヒガシオオサカシ</t>
    </rPh>
    <rPh sb="5" eb="8">
      <t>イバラキシ</t>
    </rPh>
    <phoneticPr fontId="1"/>
  </si>
  <si>
    <t>久御山町～住之江区</t>
    <rPh sb="0" eb="4">
      <t>クミヤマチョウ</t>
    </rPh>
    <rPh sb="5" eb="9">
      <t>スミノエク</t>
    </rPh>
    <phoneticPr fontId="1"/>
  </si>
  <si>
    <t>泉大津市～三木市</t>
    <rPh sb="0" eb="4">
      <t>イズミオオツシ</t>
    </rPh>
    <rPh sb="5" eb="8">
      <t>ミキシ</t>
    </rPh>
    <phoneticPr fontId="1"/>
  </si>
  <si>
    <t>バラ</t>
  </si>
  <si>
    <t>P/L→バラ</t>
    <phoneticPr fontId="1"/>
  </si>
  <si>
    <t>神戸市北区～堺市</t>
    <rPh sb="0" eb="3">
      <t>コウベシ</t>
    </rPh>
    <rPh sb="3" eb="5">
      <t>キタク</t>
    </rPh>
    <rPh sb="6" eb="8">
      <t>サカイシ</t>
    </rPh>
    <phoneticPr fontId="1"/>
  </si>
  <si>
    <t>神戸市北区～岸和田市</t>
    <rPh sb="0" eb="3">
      <t>コウベシ</t>
    </rPh>
    <rPh sb="3" eb="5">
      <t>キタク</t>
    </rPh>
    <rPh sb="6" eb="10">
      <t>キシワダシ</t>
    </rPh>
    <phoneticPr fontId="1"/>
  </si>
  <si>
    <t>須磨区～此花区</t>
    <rPh sb="0" eb="3">
      <t>スマク</t>
    </rPh>
    <rPh sb="4" eb="7">
      <t>コノハナク</t>
    </rPh>
    <phoneticPr fontId="1"/>
  </si>
  <si>
    <t>此花区～須磨区・中央区</t>
    <rPh sb="0" eb="3">
      <t>コノハナク</t>
    </rPh>
    <rPh sb="4" eb="7">
      <t>スマク</t>
    </rPh>
    <rPh sb="8" eb="11">
      <t>チュウオウク</t>
    </rPh>
    <phoneticPr fontId="1"/>
  </si>
  <si>
    <t>須磨区～神戸市中央区</t>
    <rPh sb="0" eb="3">
      <t>スマク</t>
    </rPh>
    <rPh sb="4" eb="7">
      <t>コウベシ</t>
    </rPh>
    <rPh sb="7" eb="10">
      <t>チュウオウク</t>
    </rPh>
    <phoneticPr fontId="1"/>
  </si>
  <si>
    <t>2か所卸</t>
    <rPh sb="2" eb="3">
      <t>ショ</t>
    </rPh>
    <rPh sb="3" eb="4">
      <t>オロシ</t>
    </rPh>
    <phoneticPr fontId="1"/>
  </si>
  <si>
    <t>摂津市～安城市・豊田市</t>
    <rPh sb="0" eb="3">
      <t>セッツシ</t>
    </rPh>
    <rPh sb="4" eb="7">
      <t>アンジョウシ</t>
    </rPh>
    <rPh sb="8" eb="11">
      <t>トヨタシ</t>
    </rPh>
    <phoneticPr fontId="1"/>
  </si>
  <si>
    <t>小牧市～此花区</t>
    <rPh sb="0" eb="3">
      <t>コマキシ</t>
    </rPh>
    <rPh sb="4" eb="7">
      <t>コノハナク</t>
    </rPh>
    <phoneticPr fontId="1"/>
  </si>
  <si>
    <t>新日本輸送専属</t>
    <rPh sb="0" eb="5">
      <t>シンニホンユソウ</t>
    </rPh>
    <rPh sb="5" eb="7">
      <t>センゾク</t>
    </rPh>
    <phoneticPr fontId="1"/>
  </si>
  <si>
    <t>川西市～尼崎市3回転</t>
    <rPh sb="0" eb="3">
      <t>カワニシシ</t>
    </rPh>
    <rPh sb="4" eb="6">
      <t>アマガサキ</t>
    </rPh>
    <rPh sb="6" eb="7">
      <t>シ</t>
    </rPh>
    <rPh sb="8" eb="10">
      <t>カイテン</t>
    </rPh>
    <phoneticPr fontId="1"/>
  </si>
  <si>
    <t>茨木市～川西市</t>
    <rPh sb="0" eb="3">
      <t>イバラキシ</t>
    </rPh>
    <rPh sb="4" eb="7">
      <t>カワニシシ</t>
    </rPh>
    <phoneticPr fontId="1"/>
  </si>
  <si>
    <t>特別休暇</t>
    <rPh sb="0" eb="4">
      <t>トクベツキュウカ</t>
    </rPh>
    <phoneticPr fontId="1"/>
  </si>
  <si>
    <t>リーダー手当(仮)</t>
    <rPh sb="4" eb="6">
      <t>テアテ</t>
    </rPh>
    <rPh sb="7" eb="8">
      <t>カリ</t>
    </rPh>
    <phoneticPr fontId="1"/>
  </si>
  <si>
    <t>安城市～大阪市鶴見区</t>
    <rPh sb="0" eb="3">
      <t>アンジョウシ</t>
    </rPh>
    <rPh sb="4" eb="7">
      <t>オオサカシ</t>
    </rPh>
    <rPh sb="7" eb="10">
      <t>ツルミク</t>
    </rPh>
    <phoneticPr fontId="1"/>
  </si>
  <si>
    <t>安城市～鶴見区</t>
    <rPh sb="0" eb="3">
      <t>アンジョウシ</t>
    </rPh>
    <rPh sb="4" eb="7">
      <t>ツルミク</t>
    </rPh>
    <phoneticPr fontId="1"/>
  </si>
  <si>
    <t>鶴見区②～安城市</t>
    <rPh sb="0" eb="3">
      <t>ツルミク</t>
    </rPh>
    <rPh sb="5" eb="8">
      <t>アンジョウシ</t>
    </rPh>
    <phoneticPr fontId="1"/>
  </si>
  <si>
    <t>堺市～西宮市②</t>
    <rPh sb="0" eb="2">
      <t>サカイシ</t>
    </rPh>
    <rPh sb="3" eb="6">
      <t>ニシノミヤシ</t>
    </rPh>
    <phoneticPr fontId="1"/>
  </si>
  <si>
    <t>2か所卸</t>
    <rPh sb="2" eb="4">
      <t>ショオロシ</t>
    </rPh>
    <phoneticPr fontId="1"/>
  </si>
  <si>
    <t>鶴見区～此花区</t>
    <rPh sb="0" eb="3">
      <t>ツルミク</t>
    </rPh>
    <rPh sb="4" eb="7">
      <t>コノハナク</t>
    </rPh>
    <phoneticPr fontId="1"/>
  </si>
  <si>
    <t>淀川区～小牧市</t>
    <rPh sb="0" eb="3">
      <t>ヨドガワク</t>
    </rPh>
    <rPh sb="4" eb="6">
      <t>コマキ</t>
    </rPh>
    <rPh sb="6" eb="7">
      <t>シ</t>
    </rPh>
    <phoneticPr fontId="1"/>
  </si>
  <si>
    <t>春日井市～京都市南区</t>
    <rPh sb="0" eb="4">
      <t>カスガイシ</t>
    </rPh>
    <rPh sb="5" eb="8">
      <t>キョウトシ</t>
    </rPh>
    <rPh sb="8" eb="10">
      <t>ミナミク</t>
    </rPh>
    <phoneticPr fontId="1"/>
  </si>
  <si>
    <t>門真市～たつの市</t>
    <rPh sb="0" eb="3">
      <t>カドマシ</t>
    </rPh>
    <rPh sb="7" eb="8">
      <t>シ</t>
    </rPh>
    <phoneticPr fontId="1"/>
  </si>
  <si>
    <t>東灘区～丹羽郡</t>
    <rPh sb="0" eb="3">
      <t>ヒガシナダク</t>
    </rPh>
    <rPh sb="4" eb="7">
      <t>ニワグン</t>
    </rPh>
    <phoneticPr fontId="1"/>
  </si>
  <si>
    <t>加古郡②～貝塚市</t>
    <rPh sb="0" eb="3">
      <t>カコグン</t>
    </rPh>
    <rPh sb="5" eb="8">
      <t>カイヅカシ</t>
    </rPh>
    <phoneticPr fontId="1"/>
  </si>
  <si>
    <t>京田辺～城陽市</t>
    <rPh sb="0" eb="3">
      <t>キョウタナベ</t>
    </rPh>
    <rPh sb="4" eb="7">
      <t>ジョウヨウシ</t>
    </rPh>
    <phoneticPr fontId="1"/>
  </si>
  <si>
    <t>伊賀市～住之江区</t>
    <rPh sb="0" eb="3">
      <t>イガシ</t>
    </rPh>
    <rPh sb="4" eb="8">
      <t>スミノエク</t>
    </rPh>
    <phoneticPr fontId="1"/>
  </si>
  <si>
    <t>名古屋市～門真市</t>
    <rPh sb="0" eb="4">
      <t>ナゴヤシ</t>
    </rPh>
    <rPh sb="5" eb="8">
      <t>カドマシ</t>
    </rPh>
    <phoneticPr fontId="1"/>
  </si>
  <si>
    <t>西宮市～京田辺市</t>
    <rPh sb="0" eb="3">
      <t>ニシノミヤシ</t>
    </rPh>
    <rPh sb="4" eb="8">
      <t>キョウタナベシ</t>
    </rPh>
    <phoneticPr fontId="1"/>
  </si>
  <si>
    <t>東大阪市～交野市</t>
    <rPh sb="0" eb="4">
      <t>ヒガシオオサカシ</t>
    </rPh>
    <rPh sb="5" eb="8">
      <t>カタノシ</t>
    </rPh>
    <phoneticPr fontId="1"/>
  </si>
  <si>
    <t>枚方市～川西市</t>
    <rPh sb="0" eb="3">
      <t>ヒラカタシ</t>
    </rPh>
    <rPh sb="4" eb="7">
      <t>カワニシシ</t>
    </rPh>
    <phoneticPr fontId="1"/>
  </si>
  <si>
    <t>摂津市～小牧市</t>
    <rPh sb="0" eb="3">
      <t>セッツシ</t>
    </rPh>
    <rPh sb="4" eb="7">
      <t>コマキシ</t>
    </rPh>
    <phoneticPr fontId="1"/>
  </si>
  <si>
    <t>桑名市～神戸市須磨区</t>
    <rPh sb="0" eb="3">
      <t>クワナシ</t>
    </rPh>
    <rPh sb="4" eb="7">
      <t>コウベシ</t>
    </rPh>
    <rPh sb="7" eb="10">
      <t>スマク</t>
    </rPh>
    <phoneticPr fontId="1"/>
  </si>
  <si>
    <t>神戸市須磨区～此花区</t>
    <rPh sb="0" eb="6">
      <t>コウベシスマク</t>
    </rPh>
    <rPh sb="7" eb="10">
      <t>コノハナク</t>
    </rPh>
    <phoneticPr fontId="1"/>
  </si>
  <si>
    <t>東大阪市～一宮市</t>
    <rPh sb="0" eb="4">
      <t>ヒガシオオサカシ</t>
    </rPh>
    <rPh sb="5" eb="8">
      <t>イチノミヤシ</t>
    </rPh>
    <phoneticPr fontId="1"/>
  </si>
  <si>
    <t>尼崎市～西淀川区</t>
    <rPh sb="0" eb="3">
      <t>アマガサキシ</t>
    </rPh>
    <rPh sb="4" eb="8">
      <t>ニシヨドガワク</t>
    </rPh>
    <phoneticPr fontId="1"/>
  </si>
  <si>
    <t>天理市～茨木市</t>
    <rPh sb="0" eb="3">
      <t>テンリシ</t>
    </rPh>
    <rPh sb="4" eb="7">
      <t>イバラキシ</t>
    </rPh>
    <phoneticPr fontId="1"/>
  </si>
  <si>
    <t>東大阪市～港区②</t>
    <rPh sb="0" eb="4">
      <t>ヒガシオオサカシ</t>
    </rPh>
    <rPh sb="5" eb="7">
      <t>ミナトク</t>
    </rPh>
    <phoneticPr fontId="1"/>
  </si>
  <si>
    <t>泉佐野市～明石市・西宮市</t>
    <rPh sb="0" eb="4">
      <t>イズミサノシ</t>
    </rPh>
    <rPh sb="5" eb="8">
      <t>アカシシ</t>
    </rPh>
    <rPh sb="9" eb="12">
      <t>ニシノミヤシ</t>
    </rPh>
    <phoneticPr fontId="1"/>
  </si>
  <si>
    <t>2か所卸</t>
    <rPh sb="3" eb="4">
      <t>オロシ</t>
    </rPh>
    <phoneticPr fontId="1"/>
  </si>
  <si>
    <t>卸のみ・卸手伝</t>
    <rPh sb="0" eb="1">
      <t>オロシ</t>
    </rPh>
    <rPh sb="4" eb="5">
      <t>オロシ</t>
    </rPh>
    <rPh sb="5" eb="7">
      <t>テツダ</t>
    </rPh>
    <phoneticPr fontId="1"/>
  </si>
  <si>
    <t>宇治市～可児市</t>
    <rPh sb="0" eb="3">
      <t>ウジシ</t>
    </rPh>
    <rPh sb="4" eb="7">
      <t>カニシ</t>
    </rPh>
    <phoneticPr fontId="1"/>
  </si>
  <si>
    <t>久御山町～伊賀市</t>
    <rPh sb="0" eb="4">
      <t>クミヤマチョウ</t>
    </rPh>
    <rPh sb="5" eb="8">
      <t>イガシ</t>
    </rPh>
    <phoneticPr fontId="1"/>
  </si>
  <si>
    <t>浪速区～可児市</t>
    <rPh sb="0" eb="3">
      <t>ナニワク</t>
    </rPh>
    <rPh sb="4" eb="7">
      <t>カニシ</t>
    </rPh>
    <phoneticPr fontId="1"/>
  </si>
  <si>
    <t>春日井市～守口市</t>
    <rPh sb="0" eb="4">
      <t>カスガイシ</t>
    </rPh>
    <rPh sb="5" eb="8">
      <t>モリグチシ</t>
    </rPh>
    <phoneticPr fontId="1"/>
  </si>
  <si>
    <t>東大阪市～大阪市港区②</t>
    <rPh sb="0" eb="4">
      <t>ヒガシオオサカシ</t>
    </rPh>
    <rPh sb="5" eb="8">
      <t>オオサカシ</t>
    </rPh>
    <rPh sb="8" eb="10">
      <t>ミナトク</t>
    </rPh>
    <phoneticPr fontId="1"/>
  </si>
  <si>
    <t>堺市～東大阪市</t>
    <rPh sb="0" eb="2">
      <t>サカイシ</t>
    </rPh>
    <rPh sb="3" eb="7">
      <t>ヒガシオオサカシ</t>
    </rPh>
    <phoneticPr fontId="1"/>
  </si>
  <si>
    <t>住之江区～西区</t>
    <rPh sb="0" eb="4">
      <t>スミノエク</t>
    </rPh>
    <rPh sb="5" eb="7">
      <t>ニシク</t>
    </rPh>
    <phoneticPr fontId="1"/>
  </si>
  <si>
    <t>淀川区～名古屋市港区</t>
    <rPh sb="0" eb="3">
      <t>ヨドガワク</t>
    </rPh>
    <rPh sb="4" eb="8">
      <t>ナゴヤシ</t>
    </rPh>
    <rPh sb="8" eb="10">
      <t>ミナトク</t>
    </rPh>
    <phoneticPr fontId="1"/>
  </si>
  <si>
    <t>稲沢市～尼崎市</t>
    <rPh sb="0" eb="3">
      <t>イナサワシ</t>
    </rPh>
    <rPh sb="4" eb="7">
      <t>アマガサキシ</t>
    </rPh>
    <phoneticPr fontId="1"/>
  </si>
  <si>
    <t>大正区～名古屋市港区</t>
    <rPh sb="0" eb="3">
      <t>タイショウク</t>
    </rPh>
    <rPh sb="4" eb="8">
      <t>ナゴヤシ</t>
    </rPh>
    <rPh sb="8" eb="10">
      <t>ミナトク</t>
    </rPh>
    <phoneticPr fontId="1"/>
  </si>
  <si>
    <t>住之江区～茨木市</t>
    <rPh sb="0" eb="4">
      <t>スミノエク</t>
    </rPh>
    <rPh sb="5" eb="8">
      <t>イバラキシ</t>
    </rPh>
    <phoneticPr fontId="1"/>
  </si>
  <si>
    <t>尼崎市～伊丹空港</t>
    <rPh sb="0" eb="3">
      <t>アマガサキシ</t>
    </rPh>
    <rPh sb="4" eb="8">
      <t>イタミクウコウ</t>
    </rPh>
    <phoneticPr fontId="1"/>
  </si>
  <si>
    <t>東灘区～弥富市</t>
    <rPh sb="0" eb="3">
      <t>ヒガシナダク</t>
    </rPh>
    <rPh sb="4" eb="7">
      <t>ヤトミシ</t>
    </rPh>
    <phoneticPr fontId="1"/>
  </si>
  <si>
    <t>小牧市～神戸市灘区</t>
    <rPh sb="0" eb="3">
      <t>コマキシ</t>
    </rPh>
    <rPh sb="4" eb="7">
      <t>コウベシ</t>
    </rPh>
    <rPh sb="7" eb="9">
      <t>ナダク</t>
    </rPh>
    <phoneticPr fontId="1"/>
  </si>
  <si>
    <t>東灘区～弥富市・一宮市～小牧市</t>
    <rPh sb="0" eb="3">
      <t>ヒガシナダク</t>
    </rPh>
    <rPh sb="4" eb="7">
      <t>ヤトミシ</t>
    </rPh>
    <phoneticPr fontId="1"/>
  </si>
  <si>
    <t>6500・1500</t>
    <phoneticPr fontId="1"/>
  </si>
  <si>
    <t>泉大津市～大東市</t>
    <rPh sb="0" eb="4">
      <t>イズミオオツシ</t>
    </rPh>
    <rPh sb="5" eb="8">
      <t>ダイトウシ</t>
    </rPh>
    <phoneticPr fontId="1"/>
  </si>
  <si>
    <t>住之江区～大阪市西区</t>
    <rPh sb="0" eb="4">
      <t>スミノエク</t>
    </rPh>
    <rPh sb="5" eb="8">
      <t>オオサカシ</t>
    </rPh>
    <rPh sb="8" eb="10">
      <t>ニシク</t>
    </rPh>
    <phoneticPr fontId="1"/>
  </si>
  <si>
    <t>東大阪市～鳴尾浜</t>
    <rPh sb="0" eb="4">
      <t>ヒガシオオサカシ</t>
    </rPh>
    <rPh sb="5" eb="8">
      <t>ナルオハマ</t>
    </rPh>
    <phoneticPr fontId="1"/>
  </si>
  <si>
    <t>枚方市～高槻市</t>
    <rPh sb="0" eb="3">
      <t>ヒラカタシ</t>
    </rPh>
    <rPh sb="4" eb="7">
      <t>タカツキシ</t>
    </rPh>
    <phoneticPr fontId="1"/>
  </si>
  <si>
    <t>摂津市～安城市</t>
    <rPh sb="0" eb="3">
      <t>セッツシ</t>
    </rPh>
    <rPh sb="4" eb="7">
      <t>アンジョウシ</t>
    </rPh>
    <phoneticPr fontId="1"/>
  </si>
  <si>
    <t>北名古屋市～門真市</t>
    <rPh sb="0" eb="5">
      <t>キタナゴヤシ</t>
    </rPh>
    <rPh sb="6" eb="9">
      <t>カドマシ</t>
    </rPh>
    <phoneticPr fontId="1"/>
  </si>
  <si>
    <t>枚方市～神戸市中央区</t>
    <rPh sb="0" eb="3">
      <t>ヒラカタシ</t>
    </rPh>
    <rPh sb="4" eb="7">
      <t>コウベシ</t>
    </rPh>
    <rPh sb="7" eb="10">
      <t>チュウオウク</t>
    </rPh>
    <phoneticPr fontId="1"/>
  </si>
  <si>
    <t>灘区～尼崎市</t>
    <rPh sb="0" eb="2">
      <t>ナダク</t>
    </rPh>
    <rPh sb="3" eb="6">
      <t>アマガサキシ</t>
    </rPh>
    <phoneticPr fontId="1"/>
  </si>
  <si>
    <t>茨木～茨木・茨木～茨木</t>
    <rPh sb="0" eb="2">
      <t>イバラキ</t>
    </rPh>
    <rPh sb="3" eb="5">
      <t>イバラキ</t>
    </rPh>
    <rPh sb="6" eb="8">
      <t>イバラキ</t>
    </rPh>
    <rPh sb="9" eb="11">
      <t>イバラキ</t>
    </rPh>
    <phoneticPr fontId="1"/>
  </si>
  <si>
    <t>4500・4500</t>
    <phoneticPr fontId="1"/>
  </si>
  <si>
    <t>東大阪市～春日井市</t>
    <rPh sb="0" eb="4">
      <t>ヒガシオオサカシ</t>
    </rPh>
    <rPh sb="5" eb="9">
      <t>カスガイシ</t>
    </rPh>
    <phoneticPr fontId="1"/>
  </si>
  <si>
    <t>小牧市～神戸市中央区</t>
    <rPh sb="0" eb="3">
      <t>コマキシ</t>
    </rPh>
    <rPh sb="4" eb="7">
      <t>コウベシ</t>
    </rPh>
    <rPh sb="7" eb="10">
      <t>チュウオウク</t>
    </rPh>
    <phoneticPr fontId="1"/>
  </si>
  <si>
    <t>バラ5000</t>
    <phoneticPr fontId="1"/>
  </si>
  <si>
    <t>西宮市～京田辺市</t>
    <rPh sb="0" eb="3">
      <t>ニシノミヤシ</t>
    </rPh>
    <rPh sb="4" eb="7">
      <t>キョウタナベ</t>
    </rPh>
    <rPh sb="7" eb="8">
      <t>シ</t>
    </rPh>
    <phoneticPr fontId="1"/>
  </si>
  <si>
    <t>堺市～鳴尾浜</t>
    <rPh sb="0" eb="2">
      <t>サカイシ</t>
    </rPh>
    <rPh sb="3" eb="6">
      <t>ナルオハマ</t>
    </rPh>
    <phoneticPr fontId="1"/>
  </si>
  <si>
    <t>茨木市～堺市・堺市～鳴尾浜</t>
    <rPh sb="0" eb="3">
      <t>イバラキシ</t>
    </rPh>
    <rPh sb="4" eb="6">
      <t>サカイシ</t>
    </rPh>
    <rPh sb="7" eb="9">
      <t>サカイシ</t>
    </rPh>
    <rPh sb="10" eb="13">
      <t>ナルオハマ</t>
    </rPh>
    <phoneticPr fontId="1"/>
  </si>
  <si>
    <t>3000・4500</t>
    <phoneticPr fontId="1"/>
  </si>
  <si>
    <t>住之江区～茨木市</t>
    <rPh sb="0" eb="4">
      <t>スミノエク</t>
    </rPh>
    <rPh sb="5" eb="7">
      <t>イバラキ</t>
    </rPh>
    <rPh sb="7" eb="8">
      <t>シ</t>
    </rPh>
    <phoneticPr fontId="1"/>
  </si>
  <si>
    <t>宇治田原町～福島区</t>
    <rPh sb="0" eb="5">
      <t>ウジタワラチョウ</t>
    </rPh>
    <rPh sb="6" eb="9">
      <t>フクシマク</t>
    </rPh>
    <phoneticPr fontId="1"/>
  </si>
  <si>
    <t>西宮市～尼崎市</t>
    <rPh sb="0" eb="3">
      <t>ニシノミヤシ</t>
    </rPh>
    <rPh sb="4" eb="7">
      <t>アマガサキシ</t>
    </rPh>
    <phoneticPr fontId="1"/>
  </si>
  <si>
    <t>北葛城郡～京田辺市</t>
    <rPh sb="0" eb="4">
      <t>キタカツラギグン</t>
    </rPh>
    <rPh sb="5" eb="9">
      <t>キョウタナベシ</t>
    </rPh>
    <phoneticPr fontId="1"/>
  </si>
  <si>
    <t>神戸市～枚方市</t>
    <rPh sb="0" eb="3">
      <t>コウベシ</t>
    </rPh>
    <rPh sb="4" eb="7">
      <t>ヒラカタシ</t>
    </rPh>
    <phoneticPr fontId="1"/>
  </si>
  <si>
    <t>神戸市北区～住之江区</t>
    <rPh sb="0" eb="3">
      <t>コウベシ</t>
    </rPh>
    <rPh sb="3" eb="5">
      <t>キタク</t>
    </rPh>
    <rPh sb="6" eb="10">
      <t>スミノエク</t>
    </rPh>
    <phoneticPr fontId="1"/>
  </si>
  <si>
    <t>神戸市北区～大山崎町</t>
    <rPh sb="0" eb="3">
      <t>コウベシ</t>
    </rPh>
    <rPh sb="3" eb="5">
      <t>キタク</t>
    </rPh>
    <rPh sb="6" eb="10">
      <t>オオヤマザキチョウ</t>
    </rPh>
    <phoneticPr fontId="1"/>
  </si>
  <si>
    <t>大阪市港区～安芸郡</t>
    <rPh sb="0" eb="3">
      <t>オオサカシ</t>
    </rPh>
    <rPh sb="3" eb="5">
      <t>ミナトク</t>
    </rPh>
    <rPh sb="6" eb="9">
      <t>アキグン</t>
    </rPh>
    <phoneticPr fontId="1"/>
  </si>
  <si>
    <t>倉敷市～伊丹市</t>
    <rPh sb="0" eb="3">
      <t>クラシキシ</t>
    </rPh>
    <rPh sb="4" eb="7">
      <t>イタミシ</t>
    </rPh>
    <phoneticPr fontId="1"/>
  </si>
  <si>
    <t>西宮市～堺市</t>
    <rPh sb="0" eb="3">
      <t>ニシノミヤシ</t>
    </rPh>
    <rPh sb="4" eb="6">
      <t>サカイシ</t>
    </rPh>
    <phoneticPr fontId="1"/>
  </si>
  <si>
    <t>尼崎市～天理市</t>
    <rPh sb="0" eb="3">
      <t>アマガサキシ</t>
    </rPh>
    <rPh sb="4" eb="7">
      <t>テンリシ</t>
    </rPh>
    <phoneticPr fontId="1"/>
  </si>
  <si>
    <t>八幡市～住之江区</t>
    <rPh sb="0" eb="3">
      <t>ヤワタシ</t>
    </rPh>
    <rPh sb="4" eb="8">
      <t>スミノエク</t>
    </rPh>
    <phoneticPr fontId="1"/>
  </si>
  <si>
    <t>八幡～住之江・住之江～大正</t>
    <rPh sb="0" eb="2">
      <t>ヤハタ</t>
    </rPh>
    <rPh sb="3" eb="6">
      <t>スミノエ</t>
    </rPh>
    <rPh sb="7" eb="10">
      <t>スミノエ</t>
    </rPh>
    <rPh sb="11" eb="13">
      <t>タイショウ</t>
    </rPh>
    <phoneticPr fontId="1"/>
  </si>
  <si>
    <t>3000・2000</t>
    <phoneticPr fontId="1"/>
  </si>
  <si>
    <t>此花区～尼崎市</t>
    <rPh sb="0" eb="3">
      <t>コノハナク</t>
    </rPh>
    <rPh sb="4" eb="7">
      <t>アマガサキシ</t>
    </rPh>
    <phoneticPr fontId="1"/>
  </si>
  <si>
    <t>堺市～枚方市</t>
    <rPh sb="0" eb="2">
      <t>サカイシ</t>
    </rPh>
    <rPh sb="3" eb="6">
      <t>ヒラカタシ</t>
    </rPh>
    <phoneticPr fontId="1"/>
  </si>
  <si>
    <t>葛城市～京田辺市</t>
    <rPh sb="0" eb="3">
      <t>カツラギシ</t>
    </rPh>
    <rPh sb="4" eb="8">
      <t>キョウタナベシ</t>
    </rPh>
    <phoneticPr fontId="1"/>
  </si>
  <si>
    <t>堺市～鳴尾浜②</t>
    <rPh sb="0" eb="2">
      <t>サカイシ</t>
    </rPh>
    <rPh sb="3" eb="6">
      <t>ナルオハマ</t>
    </rPh>
    <phoneticPr fontId="1"/>
  </si>
  <si>
    <t>尼崎市～丹羽郡</t>
    <rPh sb="0" eb="3">
      <t>アマガサキシ</t>
    </rPh>
    <rPh sb="4" eb="7">
      <t>ニワグン</t>
    </rPh>
    <phoneticPr fontId="1"/>
  </si>
  <si>
    <t>住之江区～此花区</t>
    <rPh sb="0" eb="4">
      <t>スミノエク</t>
    </rPh>
    <rPh sb="5" eb="8">
      <t>コノハナク</t>
    </rPh>
    <phoneticPr fontId="1"/>
  </si>
  <si>
    <t>2か所積み1000</t>
    <rPh sb="3" eb="4">
      <t>ツ</t>
    </rPh>
    <phoneticPr fontId="1"/>
  </si>
  <si>
    <t>川西市～尼崎市</t>
    <rPh sb="0" eb="2">
      <t>カワニシ</t>
    </rPh>
    <rPh sb="2" eb="3">
      <t>シ</t>
    </rPh>
    <rPh sb="4" eb="7">
      <t>アマガサキシ</t>
    </rPh>
    <phoneticPr fontId="1"/>
  </si>
  <si>
    <t>摂津市～小牧市・安城市</t>
    <rPh sb="0" eb="3">
      <t>セッツシ</t>
    </rPh>
    <rPh sb="4" eb="7">
      <t>コマキシ</t>
    </rPh>
    <rPh sb="8" eb="11">
      <t>アンジョウシ</t>
    </rPh>
    <phoneticPr fontId="1"/>
  </si>
  <si>
    <t>平野区～可児市</t>
    <rPh sb="0" eb="3">
      <t>ヒラノク</t>
    </rPh>
    <rPh sb="4" eb="7">
      <t>カニシ</t>
    </rPh>
    <phoneticPr fontId="1"/>
  </si>
  <si>
    <t>春日井市～此花区</t>
    <rPh sb="0" eb="4">
      <t>カスガイシ</t>
    </rPh>
    <rPh sb="5" eb="8">
      <t>コノハナク</t>
    </rPh>
    <phoneticPr fontId="1"/>
  </si>
  <si>
    <t>門真市～東大阪市</t>
    <rPh sb="0" eb="3">
      <t>カドマシ</t>
    </rPh>
    <rPh sb="4" eb="8">
      <t>ヒガシオオサカシ</t>
    </rPh>
    <phoneticPr fontId="1"/>
  </si>
  <si>
    <t>上牧町～岡崎市</t>
    <rPh sb="0" eb="3">
      <t>カンマキチョウ</t>
    </rPh>
    <rPh sb="4" eb="7">
      <t>オカザキシ</t>
    </rPh>
    <phoneticPr fontId="1"/>
  </si>
  <si>
    <t>北名古屋市～大阪市鶴見区</t>
    <rPh sb="0" eb="5">
      <t>キタナゴヤシ</t>
    </rPh>
    <rPh sb="6" eb="9">
      <t>オオサカシ</t>
    </rPh>
    <rPh sb="9" eb="12">
      <t>ツルミク</t>
    </rPh>
    <phoneticPr fontId="1"/>
  </si>
  <si>
    <t>高砂市～堺市</t>
    <rPh sb="0" eb="3">
      <t>タカサゴシ</t>
    </rPh>
    <rPh sb="4" eb="6">
      <t>サカイシ</t>
    </rPh>
    <phoneticPr fontId="1"/>
  </si>
  <si>
    <t>西尾市～茨木市</t>
    <rPh sb="0" eb="3">
      <t>ニシオシ</t>
    </rPh>
    <rPh sb="4" eb="7">
      <t>イバラキシ</t>
    </rPh>
    <phoneticPr fontId="1"/>
  </si>
  <si>
    <t>伏見区～枚方市</t>
    <rPh sb="0" eb="3">
      <t>フシミク</t>
    </rPh>
    <rPh sb="4" eb="7">
      <t>ヒラカタシ</t>
    </rPh>
    <phoneticPr fontId="1"/>
  </si>
  <si>
    <t>茨木市～茨木市</t>
    <rPh sb="0" eb="3">
      <t>イバラキシ</t>
    </rPh>
    <rPh sb="4" eb="7">
      <t>イバラキシ</t>
    </rPh>
    <phoneticPr fontId="1"/>
  </si>
  <si>
    <t>茨木市～大東市</t>
    <rPh sb="0" eb="3">
      <t>イバラキシ</t>
    </rPh>
    <rPh sb="4" eb="7">
      <t>ダイトウシ</t>
    </rPh>
    <phoneticPr fontId="1"/>
  </si>
  <si>
    <t>枚方市～川西市</t>
    <rPh sb="0" eb="3">
      <t>ヒラカタシ</t>
    </rPh>
    <rPh sb="4" eb="6">
      <t>カワニシ</t>
    </rPh>
    <rPh sb="6" eb="7">
      <t>シ</t>
    </rPh>
    <phoneticPr fontId="1"/>
  </si>
  <si>
    <t>京田辺市～尼崎市</t>
    <rPh sb="0" eb="4">
      <t>キョウタナベシ</t>
    </rPh>
    <rPh sb="5" eb="8">
      <t>アマガサキシ</t>
    </rPh>
    <phoneticPr fontId="1"/>
  </si>
  <si>
    <t>茨木市～姫路市</t>
    <rPh sb="0" eb="3">
      <t>イバラキシ</t>
    </rPh>
    <rPh sb="4" eb="7">
      <t>ヒメジシ</t>
    </rPh>
    <phoneticPr fontId="1"/>
  </si>
  <si>
    <t>長田区～一宮市</t>
    <rPh sb="0" eb="3">
      <t>ナガタク</t>
    </rPh>
    <rPh sb="4" eb="7">
      <t>イチノミヤシ</t>
    </rPh>
    <phoneticPr fontId="1"/>
  </si>
  <si>
    <t>江南市～大東市</t>
    <rPh sb="0" eb="3">
      <t>コウナンシ</t>
    </rPh>
    <rPh sb="4" eb="7">
      <t>ダイトウシ</t>
    </rPh>
    <phoneticPr fontId="1"/>
  </si>
  <si>
    <t>門真市～泉南市</t>
    <rPh sb="0" eb="3">
      <t>カドマシ</t>
    </rPh>
    <rPh sb="4" eb="7">
      <t>センナンシ</t>
    </rPh>
    <phoneticPr fontId="1"/>
  </si>
  <si>
    <t>和歌山市～八幡市</t>
    <rPh sb="0" eb="4">
      <t>ワカヤマシ</t>
    </rPh>
    <rPh sb="5" eb="8">
      <t>ヤハタシ</t>
    </rPh>
    <phoneticPr fontId="1"/>
  </si>
  <si>
    <t>新日本輸送貸切</t>
    <rPh sb="0" eb="5">
      <t>シンニホンユソウ</t>
    </rPh>
    <rPh sb="5" eb="7">
      <t>カシキリ</t>
    </rPh>
    <phoneticPr fontId="1"/>
  </si>
  <si>
    <t>住之江区②～此花区</t>
    <rPh sb="0" eb="4">
      <t>スミノエク</t>
    </rPh>
    <rPh sb="6" eb="9">
      <t>コノハナク</t>
    </rPh>
    <phoneticPr fontId="1"/>
  </si>
  <si>
    <t>茨木市～川西市</t>
    <rPh sb="0" eb="2">
      <t>イバラキ</t>
    </rPh>
    <rPh sb="2" eb="3">
      <t>シ</t>
    </rPh>
    <rPh sb="4" eb="7">
      <t>カワニシシ</t>
    </rPh>
    <phoneticPr fontId="1"/>
  </si>
  <si>
    <t>住之江区②～此花区</t>
    <rPh sb="0" eb="4">
      <t>スミノエク</t>
    </rPh>
    <rPh sb="6" eb="8">
      <t>コノハナ</t>
    </rPh>
    <rPh sb="8" eb="9">
      <t>ク</t>
    </rPh>
    <phoneticPr fontId="1"/>
  </si>
  <si>
    <t>東大阪～住之江・住之江～西区</t>
    <rPh sb="0" eb="3">
      <t>ヒガシオオサカ</t>
    </rPh>
    <rPh sb="4" eb="7">
      <t>スミノエ</t>
    </rPh>
    <rPh sb="8" eb="12">
      <t>スミノエカラ</t>
    </rPh>
    <rPh sb="12" eb="14">
      <t>ニシク</t>
    </rPh>
    <phoneticPr fontId="1"/>
  </si>
  <si>
    <t>神戸市東灘区～弥富市</t>
    <rPh sb="0" eb="3">
      <t>コウベシ</t>
    </rPh>
    <rPh sb="3" eb="6">
      <t>ヒガシナダク</t>
    </rPh>
    <rPh sb="7" eb="10">
      <t>ヤトミシ</t>
    </rPh>
    <phoneticPr fontId="1"/>
  </si>
  <si>
    <t>一宮市～小牧市</t>
    <rPh sb="0" eb="3">
      <t>イチノミヤシ</t>
    </rPh>
    <rPh sb="4" eb="7">
      <t>コマキシ</t>
    </rPh>
    <phoneticPr fontId="1"/>
  </si>
  <si>
    <t>東大阪市～泉大津市・堺市</t>
    <rPh sb="0" eb="4">
      <t>ヒガシオオサカシ</t>
    </rPh>
    <rPh sb="5" eb="9">
      <t>イズミオオツシ</t>
    </rPh>
    <rPh sb="10" eb="12">
      <t>サカイシ</t>
    </rPh>
    <phoneticPr fontId="1"/>
  </si>
  <si>
    <t>東灘区～泉佐野市</t>
    <rPh sb="0" eb="3">
      <t>ヒガシナダク</t>
    </rPh>
    <rPh sb="4" eb="8">
      <t>イズミサノシ</t>
    </rPh>
    <phoneticPr fontId="1"/>
  </si>
  <si>
    <t>城陽市～堺市</t>
    <rPh sb="0" eb="3">
      <t>ジョウヨウシ</t>
    </rPh>
    <rPh sb="4" eb="6">
      <t>サカイシ</t>
    </rPh>
    <phoneticPr fontId="1"/>
  </si>
  <si>
    <t>鶴見区～泉大津市</t>
    <rPh sb="0" eb="3">
      <t>ツルミク</t>
    </rPh>
    <rPh sb="4" eb="8">
      <t>イズミオオツシ</t>
    </rPh>
    <phoneticPr fontId="1"/>
  </si>
  <si>
    <t>住之江区～大阪市西区</t>
    <rPh sb="0" eb="4">
      <t>スミノエク</t>
    </rPh>
    <rPh sb="5" eb="8">
      <t>オオサカシ</t>
    </rPh>
    <rPh sb="8" eb="9">
      <t>ニシ</t>
    </rPh>
    <rPh sb="9" eb="10">
      <t>ク</t>
    </rPh>
    <phoneticPr fontId="1"/>
  </si>
  <si>
    <t>海津市～摂津市</t>
    <rPh sb="0" eb="3">
      <t>カイヅシ</t>
    </rPh>
    <rPh sb="4" eb="7">
      <t>セッツシ</t>
    </rPh>
    <phoneticPr fontId="1"/>
  </si>
  <si>
    <t>茨木市～住之江区</t>
    <rPh sb="0" eb="3">
      <t>イバラキシ</t>
    </rPh>
    <rPh sb="4" eb="8">
      <t>スミノエク</t>
    </rPh>
    <phoneticPr fontId="1"/>
  </si>
  <si>
    <t>住之江区～八尾市</t>
    <rPh sb="0" eb="4">
      <t>スミノエク</t>
    </rPh>
    <rPh sb="5" eb="8">
      <t>ヤオシ</t>
    </rPh>
    <phoneticPr fontId="1"/>
  </si>
  <si>
    <t>大阪市港区～住之江区</t>
    <rPh sb="0" eb="3">
      <t>オオサカシ</t>
    </rPh>
    <rPh sb="3" eb="5">
      <t>ミナトク</t>
    </rPh>
    <rPh sb="6" eb="10">
      <t>スミノエク</t>
    </rPh>
    <phoneticPr fontId="1"/>
  </si>
  <si>
    <t>高石市～名古屋市港区</t>
    <rPh sb="0" eb="3">
      <t>タカイシシ</t>
    </rPh>
    <rPh sb="4" eb="8">
      <t>ナゴヤシ</t>
    </rPh>
    <rPh sb="8" eb="10">
      <t>ミナトク</t>
    </rPh>
    <phoneticPr fontId="1"/>
  </si>
  <si>
    <t>春日井市～此花区</t>
    <rPh sb="0" eb="5">
      <t>カスガイシカラ</t>
    </rPh>
    <rPh sb="5" eb="8">
      <t>コノハナク</t>
    </rPh>
    <phoneticPr fontId="1"/>
  </si>
  <si>
    <t>東大阪市②～門真市</t>
    <rPh sb="0" eb="4">
      <t>ヒガシオオサカシ</t>
    </rPh>
    <rPh sb="6" eb="9">
      <t>カドマシ</t>
    </rPh>
    <phoneticPr fontId="1"/>
  </si>
  <si>
    <t>尼崎市～摂津市</t>
    <rPh sb="0" eb="3">
      <t>アマガサキシ</t>
    </rPh>
    <rPh sb="4" eb="7">
      <t>セッツシ</t>
    </rPh>
    <phoneticPr fontId="1"/>
  </si>
  <si>
    <t>神戸市北区～西宮市</t>
    <rPh sb="0" eb="3">
      <t>コウベシ</t>
    </rPh>
    <rPh sb="3" eb="5">
      <t>キタク</t>
    </rPh>
    <rPh sb="6" eb="9">
      <t>ニシノミヤシ</t>
    </rPh>
    <phoneticPr fontId="1"/>
  </si>
  <si>
    <t>住之江区～此花区×2</t>
    <rPh sb="0" eb="4">
      <t>スミノエク</t>
    </rPh>
    <rPh sb="5" eb="8">
      <t>コノハナク</t>
    </rPh>
    <phoneticPr fontId="1"/>
  </si>
  <si>
    <t>此花区～みなべ町</t>
    <rPh sb="0" eb="3">
      <t>コノハナク</t>
    </rPh>
    <rPh sb="7" eb="8">
      <t>チョウ</t>
    </rPh>
    <phoneticPr fontId="1"/>
  </si>
  <si>
    <t>みなべ町～此花区</t>
    <rPh sb="5" eb="8">
      <t>コノハナク</t>
    </rPh>
    <phoneticPr fontId="1"/>
  </si>
  <si>
    <t>此花区～神戸市中央区</t>
    <rPh sb="0" eb="3">
      <t>コノハナク</t>
    </rPh>
    <rPh sb="4" eb="7">
      <t>コウベシ</t>
    </rPh>
    <rPh sb="7" eb="10">
      <t>チュウオウク</t>
    </rPh>
    <phoneticPr fontId="1"/>
  </si>
  <si>
    <t>西脇市～結城市</t>
    <rPh sb="0" eb="3">
      <t>ニシワキシ</t>
    </rPh>
    <rPh sb="4" eb="7">
      <t>ユウキシ</t>
    </rPh>
    <phoneticPr fontId="1"/>
  </si>
  <si>
    <t>此花区～加須市</t>
    <rPh sb="0" eb="3">
      <t>コノハナク</t>
    </rPh>
    <rPh sb="4" eb="7">
      <t>カゾシ</t>
    </rPh>
    <phoneticPr fontId="1"/>
  </si>
  <si>
    <t>小山市～神戸市中央区</t>
    <rPh sb="0" eb="3">
      <t>オヤマシ</t>
    </rPh>
    <rPh sb="4" eb="7">
      <t>コウベシ</t>
    </rPh>
    <rPh sb="7" eb="10">
      <t>チュウオウク</t>
    </rPh>
    <phoneticPr fontId="1"/>
  </si>
  <si>
    <t>坂東市～西宮市</t>
    <rPh sb="0" eb="3">
      <t>バンドウシ</t>
    </rPh>
    <rPh sb="4" eb="7">
      <t>ニシノミヤシ</t>
    </rPh>
    <phoneticPr fontId="1"/>
  </si>
  <si>
    <t>茨木市～京田辺市</t>
    <rPh sb="0" eb="3">
      <t>イバラキシ</t>
    </rPh>
    <rPh sb="4" eb="8">
      <t>キョウタナベシ</t>
    </rPh>
    <phoneticPr fontId="1"/>
  </si>
  <si>
    <t>川西市～住之江区</t>
    <rPh sb="0" eb="3">
      <t>カワニシシ</t>
    </rPh>
    <rPh sb="4" eb="8">
      <t>スミノエク</t>
    </rPh>
    <phoneticPr fontId="1"/>
  </si>
  <si>
    <t>橋本市～邑楽郡</t>
    <rPh sb="0" eb="3">
      <t>ハシモトシ</t>
    </rPh>
    <rPh sb="4" eb="7">
      <t>オウラグン</t>
    </rPh>
    <phoneticPr fontId="1"/>
  </si>
  <si>
    <t>太田市～尼崎市</t>
    <rPh sb="0" eb="3">
      <t>オオタシ</t>
    </rPh>
    <rPh sb="4" eb="7">
      <t>アマガサキシ</t>
    </rPh>
    <phoneticPr fontId="1"/>
  </si>
  <si>
    <t>羽生市～住之江区</t>
    <rPh sb="0" eb="3">
      <t>ハニュウシ</t>
    </rPh>
    <rPh sb="4" eb="8">
      <t>スミノエク</t>
    </rPh>
    <phoneticPr fontId="1"/>
  </si>
  <si>
    <t>川西市～茨木市</t>
    <rPh sb="0" eb="2">
      <t>カワニシ</t>
    </rPh>
    <rPh sb="2" eb="3">
      <t>シ</t>
    </rPh>
    <rPh sb="4" eb="7">
      <t>イバラキシ</t>
    </rPh>
    <phoneticPr fontId="1"/>
  </si>
  <si>
    <t>奈良市～神戸市灘区</t>
    <rPh sb="0" eb="3">
      <t>ナラシ</t>
    </rPh>
    <rPh sb="4" eb="7">
      <t>コウベシ</t>
    </rPh>
    <rPh sb="7" eb="9">
      <t>ナダク</t>
    </rPh>
    <phoneticPr fontId="1"/>
  </si>
  <si>
    <t>加須市～此花区</t>
    <rPh sb="0" eb="3">
      <t>カゾシ</t>
    </rPh>
    <rPh sb="4" eb="7">
      <t>コノハナク</t>
    </rPh>
    <phoneticPr fontId="1"/>
  </si>
  <si>
    <t>越谷市～東大阪市</t>
    <rPh sb="0" eb="3">
      <t>コシガヤシ</t>
    </rPh>
    <rPh sb="4" eb="8">
      <t>ヒガシオオサカシ</t>
    </rPh>
    <phoneticPr fontId="1"/>
  </si>
  <si>
    <t>住之江区～野洲市</t>
    <rPh sb="0" eb="4">
      <t>スミノエク</t>
    </rPh>
    <rPh sb="5" eb="8">
      <t>ヤスシ</t>
    </rPh>
    <phoneticPr fontId="1"/>
  </si>
  <si>
    <t>京都市南区～高槻市</t>
    <rPh sb="0" eb="3">
      <t>キョウトシ</t>
    </rPh>
    <rPh sb="3" eb="5">
      <t>ミナミク</t>
    </rPh>
    <rPh sb="6" eb="9">
      <t>タカツキシ</t>
    </rPh>
    <phoneticPr fontId="1"/>
  </si>
  <si>
    <t>加須市～泉大津市</t>
    <rPh sb="0" eb="3">
      <t>カゾシ</t>
    </rPh>
    <rPh sb="4" eb="8">
      <t>イズミオオツシ</t>
    </rPh>
    <phoneticPr fontId="1"/>
  </si>
  <si>
    <t>2か所積み</t>
    <rPh sb="2" eb="4">
      <t>ショツ</t>
    </rPh>
    <phoneticPr fontId="1"/>
  </si>
  <si>
    <t>さいたま市～泉大津市</t>
    <rPh sb="4" eb="5">
      <t>シ</t>
    </rPh>
    <rPh sb="6" eb="10">
      <t>イズミオオツシ</t>
    </rPh>
    <phoneticPr fontId="1"/>
  </si>
  <si>
    <t>神戸市灘区～枚方市</t>
    <rPh sb="0" eb="3">
      <t>コウベシ</t>
    </rPh>
    <rPh sb="3" eb="5">
      <t>ナダク</t>
    </rPh>
    <rPh sb="6" eb="9">
      <t>ヒラカタシ</t>
    </rPh>
    <phoneticPr fontId="1"/>
  </si>
  <si>
    <t>伏見区～関西空港</t>
    <rPh sb="0" eb="3">
      <t>フシミク</t>
    </rPh>
    <rPh sb="4" eb="8">
      <t>カンサイクウコウ</t>
    </rPh>
    <phoneticPr fontId="1"/>
  </si>
  <si>
    <t>牛久市～尼崎市</t>
    <rPh sb="0" eb="3">
      <t>ウシクシ</t>
    </rPh>
    <rPh sb="4" eb="7">
      <t>アマガサキシ</t>
    </rPh>
    <phoneticPr fontId="1"/>
  </si>
  <si>
    <t>大正区～越谷市</t>
    <rPh sb="0" eb="3">
      <t>タイショウク</t>
    </rPh>
    <rPh sb="4" eb="7">
      <t>コシガヤシ</t>
    </rPh>
    <phoneticPr fontId="1"/>
  </si>
  <si>
    <t>入間郡三芳町～吹田市</t>
    <rPh sb="0" eb="3">
      <t>イルマグン</t>
    </rPh>
    <rPh sb="3" eb="6">
      <t>ミヨシチョウ</t>
    </rPh>
    <rPh sb="7" eb="10">
      <t>スイタシ</t>
    </rPh>
    <phoneticPr fontId="1"/>
  </si>
  <si>
    <t>栗東市～野田市</t>
    <rPh sb="0" eb="3">
      <t>リットウシ</t>
    </rPh>
    <rPh sb="4" eb="7">
      <t>ノダシ</t>
    </rPh>
    <phoneticPr fontId="1"/>
  </si>
  <si>
    <t>野田市～生駒郡安堵町</t>
    <rPh sb="0" eb="3">
      <t>ノダシ</t>
    </rPh>
    <rPh sb="4" eb="7">
      <t>イコマグン</t>
    </rPh>
    <rPh sb="7" eb="10">
      <t>アンドチョウ</t>
    </rPh>
    <phoneticPr fontId="1"/>
  </si>
  <si>
    <t>岩出市～野田市</t>
    <rPh sb="0" eb="3">
      <t>イワデシ</t>
    </rPh>
    <rPh sb="4" eb="7">
      <t>ノダシ</t>
    </rPh>
    <phoneticPr fontId="1"/>
  </si>
  <si>
    <t>住之江区～越谷市</t>
    <rPh sb="0" eb="4">
      <t>スミノエク</t>
    </rPh>
    <rPh sb="5" eb="8">
      <t>コシガヤシ</t>
    </rPh>
    <phoneticPr fontId="1"/>
  </si>
  <si>
    <t>八幡市～加須市</t>
    <rPh sb="0" eb="3">
      <t>ヤワタシ</t>
    </rPh>
    <rPh sb="4" eb="7">
      <t>カゾシ</t>
    </rPh>
    <phoneticPr fontId="1"/>
  </si>
  <si>
    <t>上尾市～高槻市</t>
    <rPh sb="0" eb="3">
      <t>アゲオシ</t>
    </rPh>
    <rPh sb="4" eb="7">
      <t>タカツキシ</t>
    </rPh>
    <phoneticPr fontId="1"/>
  </si>
  <si>
    <t>高石市～小野市</t>
    <rPh sb="0" eb="3">
      <t>タカイシシ</t>
    </rPh>
    <rPh sb="4" eb="7">
      <t>オノシ</t>
    </rPh>
    <phoneticPr fontId="1"/>
  </si>
  <si>
    <t>茨木市～此花区</t>
    <rPh sb="0" eb="3">
      <t>イバラキシ</t>
    </rPh>
    <rPh sb="4" eb="7">
      <t>コノハナク</t>
    </rPh>
    <phoneticPr fontId="1"/>
  </si>
  <si>
    <t>和泉市～宍粟市</t>
    <rPh sb="0" eb="3">
      <t>イズミシ</t>
    </rPh>
    <rPh sb="4" eb="7">
      <t>シソウシ</t>
    </rPh>
    <phoneticPr fontId="1"/>
  </si>
  <si>
    <t>茨木市～神戸市西区</t>
    <rPh sb="0" eb="3">
      <t>イバラキシ</t>
    </rPh>
    <rPh sb="4" eb="7">
      <t>コウベシ</t>
    </rPh>
    <rPh sb="7" eb="9">
      <t>ニシク</t>
    </rPh>
    <phoneticPr fontId="1"/>
  </si>
  <si>
    <t>堺市～草加市</t>
    <rPh sb="0" eb="2">
      <t>サカイシ</t>
    </rPh>
    <rPh sb="3" eb="6">
      <t>ソウカシ</t>
    </rPh>
    <phoneticPr fontId="1"/>
  </si>
  <si>
    <t>入間郡三芳町～城陽市</t>
    <rPh sb="0" eb="3">
      <t>イルマグン</t>
    </rPh>
    <rPh sb="3" eb="6">
      <t>ミヨシチョウ</t>
    </rPh>
    <rPh sb="7" eb="10">
      <t>ジョウヨウシ</t>
    </rPh>
    <phoneticPr fontId="1"/>
  </si>
  <si>
    <t>京田辺市～摂津市</t>
    <rPh sb="0" eb="4">
      <t>キョウタナベシ</t>
    </rPh>
    <rPh sb="5" eb="8">
      <t>セッツシ</t>
    </rPh>
    <phoneticPr fontId="1"/>
  </si>
  <si>
    <t>大和郡山市～入間郡三芳町</t>
    <rPh sb="0" eb="5">
      <t>ヤマトコオリヤマシ</t>
    </rPh>
    <rPh sb="6" eb="9">
      <t>イルマグン</t>
    </rPh>
    <rPh sb="9" eb="12">
      <t>ミヨシチョウ</t>
    </rPh>
    <phoneticPr fontId="1"/>
  </si>
  <si>
    <t>入間郡三芳町～京都市</t>
    <rPh sb="0" eb="3">
      <t>イルマグン</t>
    </rPh>
    <rPh sb="3" eb="6">
      <t>ミヨシチョウ</t>
    </rPh>
    <rPh sb="7" eb="10">
      <t>キョウトシ</t>
    </rPh>
    <phoneticPr fontId="1"/>
  </si>
  <si>
    <t>東大阪市～各務原市②</t>
    <rPh sb="0" eb="4">
      <t>ヒガシオオサカシ</t>
    </rPh>
    <rPh sb="5" eb="9">
      <t>カガミハラシ</t>
    </rPh>
    <phoneticPr fontId="1"/>
  </si>
  <si>
    <t>堺市～品川区</t>
    <rPh sb="0" eb="2">
      <t>サカイシ</t>
    </rPh>
    <rPh sb="3" eb="6">
      <t>シナガワク</t>
    </rPh>
    <phoneticPr fontId="1"/>
  </si>
  <si>
    <t>浦安市～猪名川町</t>
    <rPh sb="0" eb="3">
      <t>ウラヤスシ</t>
    </rPh>
    <rPh sb="4" eb="8">
      <t>イナガワチョウ</t>
    </rPh>
    <phoneticPr fontId="1"/>
  </si>
  <si>
    <t>堺市～三郷市</t>
    <rPh sb="0" eb="2">
      <t>サカイシ</t>
    </rPh>
    <rPh sb="3" eb="6">
      <t>ミサトシ</t>
    </rPh>
    <phoneticPr fontId="1"/>
  </si>
  <si>
    <t>かすみがうら市～住之江区</t>
    <rPh sb="6" eb="7">
      <t>シ</t>
    </rPh>
    <rPh sb="8" eb="12">
      <t>スミノエク</t>
    </rPh>
    <phoneticPr fontId="1"/>
  </si>
  <si>
    <t>江東区～加西市</t>
    <rPh sb="0" eb="3">
      <t>コウトウク</t>
    </rPh>
    <rPh sb="4" eb="7">
      <t>カサイシ</t>
    </rPh>
    <phoneticPr fontId="1"/>
  </si>
  <si>
    <t>神戸市中央区～川崎市</t>
    <rPh sb="0" eb="3">
      <t>コウベシ</t>
    </rPh>
    <rPh sb="3" eb="6">
      <t>チュウオウク</t>
    </rPh>
    <rPh sb="7" eb="10">
      <t>カワサキシ</t>
    </rPh>
    <phoneticPr fontId="1"/>
  </si>
  <si>
    <t>草加市～住之江区</t>
    <rPh sb="0" eb="3">
      <t>ソウカシ</t>
    </rPh>
    <rPh sb="4" eb="8">
      <t>スミノエク</t>
    </rPh>
    <phoneticPr fontId="1"/>
  </si>
  <si>
    <t>住之江区～草加市</t>
    <rPh sb="0" eb="4">
      <t>スミノエク</t>
    </rPh>
    <rPh sb="5" eb="8">
      <t>ソウカシ</t>
    </rPh>
    <phoneticPr fontId="1"/>
  </si>
  <si>
    <t>高石市～市原市</t>
    <rPh sb="0" eb="3">
      <t>タカイシシ</t>
    </rPh>
    <rPh sb="4" eb="7">
      <t>イチハラシ</t>
    </rPh>
    <phoneticPr fontId="1"/>
  </si>
  <si>
    <t>市原市～高石市</t>
    <rPh sb="0" eb="3">
      <t>イチハラシ</t>
    </rPh>
    <rPh sb="4" eb="7">
      <t>タカイシシ</t>
    </rPh>
    <phoneticPr fontId="1"/>
  </si>
  <si>
    <t>鶴見区～東松山市</t>
    <rPh sb="0" eb="3">
      <t>ツルミク</t>
    </rPh>
    <rPh sb="4" eb="8">
      <t>ヒガシマツヤマシ</t>
    </rPh>
    <phoneticPr fontId="1"/>
  </si>
  <si>
    <t>戸田市～茨木市</t>
    <rPh sb="0" eb="3">
      <t>トダシ</t>
    </rPh>
    <rPh sb="4" eb="7">
      <t>イバラキシ</t>
    </rPh>
    <phoneticPr fontId="1"/>
  </si>
  <si>
    <t>堺市～東松山市</t>
    <rPh sb="0" eb="2">
      <t>サカイシ</t>
    </rPh>
    <rPh sb="3" eb="7">
      <t>ヒガシマツヤマシ</t>
    </rPh>
    <phoneticPr fontId="1"/>
  </si>
  <si>
    <t>邑楽郡～海草郡</t>
    <rPh sb="0" eb="3">
      <t>オウラグン</t>
    </rPh>
    <rPh sb="4" eb="6">
      <t>カイソウ</t>
    </rPh>
    <rPh sb="6" eb="7">
      <t>グン</t>
    </rPh>
    <phoneticPr fontId="1"/>
  </si>
  <si>
    <t>紀の川市～住之江区</t>
    <rPh sb="0" eb="1">
      <t>キ</t>
    </rPh>
    <rPh sb="2" eb="4">
      <t>カワシ</t>
    </rPh>
    <rPh sb="5" eb="9">
      <t>スミノエク</t>
    </rPh>
    <phoneticPr fontId="1"/>
  </si>
  <si>
    <t>北名古屋市～鶴見区</t>
    <rPh sb="0" eb="5">
      <t>キタナゴヤシ</t>
    </rPh>
    <rPh sb="6" eb="9">
      <t>ツルミク</t>
    </rPh>
    <phoneticPr fontId="1"/>
  </si>
  <si>
    <t>東大阪市～八尾市</t>
    <rPh sb="0" eb="4">
      <t>ヒガシオオサカシ</t>
    </rPh>
    <rPh sb="5" eb="8">
      <t>ヤオシ</t>
    </rPh>
    <phoneticPr fontId="1"/>
  </si>
  <si>
    <t>可児市～門真市</t>
    <rPh sb="0" eb="3">
      <t>カニシ</t>
    </rPh>
    <rPh sb="4" eb="7">
      <t>カドマシ</t>
    </rPh>
    <phoneticPr fontId="1"/>
  </si>
  <si>
    <t>空車回送</t>
    <rPh sb="0" eb="2">
      <t>クウシャ</t>
    </rPh>
    <rPh sb="2" eb="4">
      <t>カイソウ</t>
    </rPh>
    <phoneticPr fontId="1"/>
  </si>
  <si>
    <t>茨木市～天理市</t>
    <rPh sb="0" eb="3">
      <t>イバラキシ</t>
    </rPh>
    <rPh sb="4" eb="7">
      <t>テンリシ</t>
    </rPh>
    <phoneticPr fontId="1"/>
  </si>
  <si>
    <t>宇治田原町～大阪市福島区</t>
    <rPh sb="0" eb="5">
      <t>ウジタワラチョウ</t>
    </rPh>
    <rPh sb="6" eb="9">
      <t>オオサカシ</t>
    </rPh>
    <rPh sb="9" eb="12">
      <t>フクシマク</t>
    </rPh>
    <phoneticPr fontId="1"/>
  </si>
  <si>
    <t>五條市～丹羽郡</t>
    <rPh sb="0" eb="3">
      <t>ゴジョウシ</t>
    </rPh>
    <rPh sb="4" eb="7">
      <t>ニワグン</t>
    </rPh>
    <phoneticPr fontId="1"/>
  </si>
  <si>
    <t>伊賀市～久御山町</t>
    <rPh sb="0" eb="3">
      <t>イガシ</t>
    </rPh>
    <rPh sb="4" eb="8">
      <t>クミヤマチョウ</t>
    </rPh>
    <phoneticPr fontId="1"/>
  </si>
  <si>
    <t>城陽市～亀山市</t>
    <rPh sb="0" eb="3">
      <t>ジョウヨウシ</t>
    </rPh>
    <rPh sb="4" eb="7">
      <t>カメヤマシ</t>
    </rPh>
    <phoneticPr fontId="1"/>
  </si>
  <si>
    <t>門真市～大府市</t>
    <rPh sb="0" eb="3">
      <t>カドマシ</t>
    </rPh>
    <rPh sb="4" eb="7">
      <t>オオブシ</t>
    </rPh>
    <phoneticPr fontId="1"/>
  </si>
  <si>
    <t>茨木市～稲沢市</t>
    <rPh sb="0" eb="3">
      <t>イバラキシ</t>
    </rPh>
    <rPh sb="4" eb="7">
      <t>イナサワシ</t>
    </rPh>
    <phoneticPr fontId="1"/>
  </si>
  <si>
    <t>小牧市～平野区</t>
    <rPh sb="0" eb="3">
      <t>コマキシ</t>
    </rPh>
    <rPh sb="4" eb="7">
      <t>ヒラノク</t>
    </rPh>
    <phoneticPr fontId="1"/>
  </si>
  <si>
    <t>宇治田原町～福島区</t>
    <rPh sb="0" eb="6">
      <t>ウジタワラチョウカラ</t>
    </rPh>
    <rPh sb="6" eb="9">
      <t>フクシマク</t>
    </rPh>
    <phoneticPr fontId="1"/>
  </si>
  <si>
    <t>リーダー手当</t>
    <rPh sb="4" eb="6">
      <t>テアテ</t>
    </rPh>
    <phoneticPr fontId="1"/>
  </si>
  <si>
    <t>名古屋市～丹波市</t>
    <rPh sb="0" eb="4">
      <t>ナゴヤシ</t>
    </rPh>
    <rPh sb="5" eb="8">
      <t>タンバシ</t>
    </rPh>
    <phoneticPr fontId="1"/>
  </si>
  <si>
    <t>東大阪市～大阪市西区</t>
    <rPh sb="0" eb="4">
      <t>ヒガシオオサカシ</t>
    </rPh>
    <rPh sb="5" eb="8">
      <t>オオサカシ</t>
    </rPh>
    <rPh sb="8" eb="10">
      <t>ニシク</t>
    </rPh>
    <phoneticPr fontId="1"/>
  </si>
  <si>
    <t>神戸市北区～摂津市</t>
    <rPh sb="0" eb="3">
      <t>コウベシ</t>
    </rPh>
    <rPh sb="3" eb="5">
      <t>キタク</t>
    </rPh>
    <rPh sb="6" eb="9">
      <t>セッツシ</t>
    </rPh>
    <phoneticPr fontId="1"/>
  </si>
  <si>
    <t>尼崎市～住之江区</t>
    <rPh sb="0" eb="3">
      <t>アマガサキシ</t>
    </rPh>
    <rPh sb="4" eb="8">
      <t>スミノエク</t>
    </rPh>
    <phoneticPr fontId="1"/>
  </si>
  <si>
    <t>名古屋市～東大阪市</t>
    <rPh sb="0" eb="4">
      <t>ナゴヤシ</t>
    </rPh>
    <rPh sb="5" eb="9">
      <t>ヒガシオオサカシ</t>
    </rPh>
    <phoneticPr fontId="1"/>
  </si>
  <si>
    <t>尼崎市～此花区②</t>
    <rPh sb="0" eb="3">
      <t>アマガサキシ</t>
    </rPh>
    <rPh sb="4" eb="7">
      <t>コノハナク</t>
    </rPh>
    <phoneticPr fontId="1"/>
  </si>
  <si>
    <t>神戸市北区～茨木市</t>
    <rPh sb="0" eb="3">
      <t>コウベシ</t>
    </rPh>
    <rPh sb="3" eb="5">
      <t>キタク</t>
    </rPh>
    <rPh sb="6" eb="9">
      <t>イバラキシ</t>
    </rPh>
    <phoneticPr fontId="1"/>
  </si>
  <si>
    <t>東大阪市～美原区・羽曳野市</t>
    <rPh sb="0" eb="4">
      <t>ヒガシオオサカシ</t>
    </rPh>
    <rPh sb="5" eb="8">
      <t>ミハラク</t>
    </rPh>
    <rPh sb="9" eb="13">
      <t>ハビキノシ</t>
    </rPh>
    <phoneticPr fontId="1"/>
  </si>
  <si>
    <t>藤井寺市～尼崎市</t>
    <rPh sb="0" eb="4">
      <t>フジイデラシ</t>
    </rPh>
    <rPh sb="5" eb="8">
      <t>アマガサキシ</t>
    </rPh>
    <phoneticPr fontId="1"/>
  </si>
  <si>
    <t>尼崎市～茨木市</t>
    <rPh sb="0" eb="3">
      <t>アマガサキシ</t>
    </rPh>
    <rPh sb="4" eb="7">
      <t>イバラキシ</t>
    </rPh>
    <phoneticPr fontId="1"/>
  </si>
  <si>
    <t>神戸市須磨区～此花区</t>
    <rPh sb="0" eb="3">
      <t>コウベシ</t>
    </rPh>
    <rPh sb="3" eb="6">
      <t>スマク</t>
    </rPh>
    <rPh sb="7" eb="10">
      <t>コノハナク</t>
    </rPh>
    <phoneticPr fontId="1"/>
  </si>
  <si>
    <t>岡崎市～稲沢市</t>
    <rPh sb="0" eb="3">
      <t>オカザキシ</t>
    </rPh>
    <rPh sb="4" eb="7">
      <t>イナサワシ</t>
    </rPh>
    <phoneticPr fontId="1"/>
  </si>
  <si>
    <t>神戸市須磨区～桑名市</t>
    <rPh sb="0" eb="3">
      <t>コウベシ</t>
    </rPh>
    <rPh sb="3" eb="6">
      <t>スマク</t>
    </rPh>
    <rPh sb="7" eb="10">
      <t>クワナシ</t>
    </rPh>
    <phoneticPr fontId="1"/>
  </si>
  <si>
    <t>須磨区～神戸市中央区</t>
    <rPh sb="0" eb="3">
      <t>スマク</t>
    </rPh>
    <rPh sb="4" eb="7">
      <t>コウベシ</t>
    </rPh>
    <rPh sb="7" eb="9">
      <t>チュウオウ</t>
    </rPh>
    <rPh sb="9" eb="10">
      <t>ク</t>
    </rPh>
    <phoneticPr fontId="1"/>
  </si>
  <si>
    <t>たつの市・加古川市～淀川区</t>
    <rPh sb="3" eb="4">
      <t>シ</t>
    </rPh>
    <rPh sb="5" eb="9">
      <t>カコガワシ</t>
    </rPh>
    <rPh sb="10" eb="13">
      <t>ヨドガワク</t>
    </rPh>
    <phoneticPr fontId="1"/>
  </si>
  <si>
    <t>空パレ回収あり</t>
    <rPh sb="0" eb="1">
      <t>カラ</t>
    </rPh>
    <rPh sb="3" eb="5">
      <t>カイシュウ</t>
    </rPh>
    <phoneticPr fontId="1"/>
  </si>
  <si>
    <t>車庫～草加市</t>
    <rPh sb="0" eb="2">
      <t>シャコ</t>
    </rPh>
    <rPh sb="3" eb="6">
      <t>ソウカシ</t>
    </rPh>
    <phoneticPr fontId="1"/>
  </si>
  <si>
    <t>車庫～市原市</t>
    <rPh sb="0" eb="2">
      <t>シャコ</t>
    </rPh>
    <rPh sb="3" eb="6">
      <t>イチハラシ</t>
    </rPh>
    <phoneticPr fontId="1"/>
  </si>
  <si>
    <t>車庫～入間郡</t>
    <rPh sb="0" eb="2">
      <t>シャコ</t>
    </rPh>
    <rPh sb="3" eb="6">
      <t>イルマグン</t>
    </rPh>
    <phoneticPr fontId="1"/>
  </si>
  <si>
    <t>堺市～車庫</t>
    <rPh sb="0" eb="2">
      <t>サカイシ</t>
    </rPh>
    <rPh sb="3" eb="5">
      <t>シャコ</t>
    </rPh>
    <phoneticPr fontId="1"/>
  </si>
  <si>
    <t>追加ポイントは</t>
    <rPh sb="0" eb="2">
      <t>ツイカ</t>
    </rPh>
    <phoneticPr fontId="1"/>
  </si>
  <si>
    <t>前月に計上済</t>
    <rPh sb="1" eb="2">
      <t>ゲツ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</si>
</sst>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5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8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56" fontId="0" fillId="0" borderId="11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56" fontId="0" fillId="0" borderId="8" xfId="0" applyNumberFormat="1" applyBorder="1" applyAlignment="1">
      <alignment horizontal="center" vertical="center"/>
    </xf>
    <xf numFmtId="56" fontId="0" fillId="0" borderId="10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7F1C-5597-41F8-AF21-2E84E5458450}">
  <sheetPr>
    <pageSetUpPr fitToPage="1"/>
  </sheetPr>
  <dimension ref="A1:X56"/>
  <sheetViews>
    <sheetView topLeftCell="A29" workbookViewId="0">
      <selection sqref="A1:U51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45658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45674</v>
      </c>
      <c r="M4" s="4" t="s">
        <v>3</v>
      </c>
      <c r="N4" s="5"/>
      <c r="O4" s="5"/>
      <c r="P4" s="6"/>
      <c r="Q4" s="23"/>
      <c r="R4" s="4" t="s">
        <v>3</v>
      </c>
      <c r="S4" s="2"/>
      <c r="T4" s="23">
        <f t="shared" ref="T4" si="0">Q4+S4+S5+S6</f>
        <v>0</v>
      </c>
      <c r="U4" s="9"/>
      <c r="W4" s="1" t="s">
        <v>14</v>
      </c>
    </row>
    <row r="5" spans="1:23" x14ac:dyDescent="0.4">
      <c r="A5" s="29"/>
      <c r="B5" s="4" t="s">
        <v>4</v>
      </c>
      <c r="C5" s="5"/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/>
      <c r="O5" s="5"/>
      <c r="P5" s="6"/>
      <c r="Q5" s="23"/>
      <c r="R5" s="4" t="s">
        <v>4</v>
      </c>
      <c r="S5" s="2"/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45659</v>
      </c>
      <c r="B7" s="4" t="s">
        <v>3</v>
      </c>
      <c r="C7" s="5"/>
      <c r="D7" s="5"/>
      <c r="E7" s="6"/>
      <c r="F7" s="23"/>
      <c r="G7" s="4" t="s">
        <v>3</v>
      </c>
      <c r="H7" s="2"/>
      <c r="I7" s="23">
        <f t="shared" ref="I7" si="1">F7+H7+H8+H9</f>
        <v>0</v>
      </c>
      <c r="J7" s="9"/>
      <c r="L7" s="29">
        <f>L4+1</f>
        <v>45675</v>
      </c>
      <c r="M7" s="4" t="s">
        <v>3</v>
      </c>
      <c r="N7" s="5"/>
      <c r="O7" s="5"/>
      <c r="P7" s="6"/>
      <c r="Q7" s="23"/>
      <c r="R7" s="4" t="s">
        <v>3</v>
      </c>
      <c r="S7" s="2"/>
      <c r="T7" s="23">
        <f t="shared" ref="T7" si="2">Q7+S7+S8+S9</f>
        <v>0</v>
      </c>
      <c r="U7" s="9"/>
      <c r="W7">
        <f>COUNT(F4:F51,Q4:Q48)</f>
        <v>0</v>
      </c>
    </row>
    <row r="8" spans="1:23" x14ac:dyDescent="0.4">
      <c r="A8" s="29"/>
      <c r="B8" s="4" t="s">
        <v>4</v>
      </c>
      <c r="C8" s="5"/>
      <c r="D8" s="5"/>
      <c r="E8" s="6"/>
      <c r="F8" s="23"/>
      <c r="G8" s="4" t="s">
        <v>4</v>
      </c>
      <c r="H8" s="2"/>
      <c r="I8" s="23"/>
      <c r="J8" s="9"/>
      <c r="L8" s="29"/>
      <c r="M8" s="4" t="s">
        <v>4</v>
      </c>
      <c r="N8" s="5"/>
      <c r="O8" s="5"/>
      <c r="P8" s="6"/>
      <c r="Q8" s="23"/>
      <c r="R8" s="4" t="s">
        <v>4</v>
      </c>
      <c r="S8" s="2"/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3">A7+1</f>
        <v>45660</v>
      </c>
      <c r="B10" s="4" t="s">
        <v>3</v>
      </c>
      <c r="C10" s="5"/>
      <c r="D10" s="5"/>
      <c r="E10" s="6"/>
      <c r="F10" s="23"/>
      <c r="G10" s="4" t="s">
        <v>3</v>
      </c>
      <c r="H10" s="2"/>
      <c r="I10" s="23">
        <f t="shared" ref="I10" si="4">F10+H10+H11+H12</f>
        <v>0</v>
      </c>
      <c r="J10" s="9"/>
      <c r="L10" s="29">
        <f t="shared" ref="L10" si="5">L7+1</f>
        <v>45676</v>
      </c>
      <c r="M10" s="4" t="s">
        <v>3</v>
      </c>
      <c r="N10" s="5"/>
      <c r="O10" s="5"/>
      <c r="P10" s="6"/>
      <c r="Q10" s="23"/>
      <c r="R10" s="4" t="s">
        <v>3</v>
      </c>
      <c r="S10" s="2"/>
      <c r="T10" s="23">
        <f t="shared" ref="T10" si="6">Q10+S10+S11+S12</f>
        <v>0</v>
      </c>
      <c r="U10" s="9"/>
    </row>
    <row r="11" spans="1:23" x14ac:dyDescent="0.4">
      <c r="A11" s="29"/>
      <c r="B11" s="4" t="s">
        <v>4</v>
      </c>
      <c r="C11" s="5"/>
      <c r="D11" s="5"/>
      <c r="E11" s="6"/>
      <c r="F11" s="23"/>
      <c r="G11" s="4" t="s">
        <v>4</v>
      </c>
      <c r="H11" s="2"/>
      <c r="I11" s="23"/>
      <c r="J11" s="9"/>
      <c r="L11" s="29"/>
      <c r="M11" s="4" t="s">
        <v>4</v>
      </c>
      <c r="N11" s="5"/>
      <c r="O11" s="5"/>
      <c r="P11" s="6"/>
      <c r="Q11" s="23"/>
      <c r="R11" s="4" t="s">
        <v>4</v>
      </c>
      <c r="S11" s="2"/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7">A10+1</f>
        <v>45661</v>
      </c>
      <c r="B13" s="4" t="s">
        <v>3</v>
      </c>
      <c r="C13" s="5"/>
      <c r="D13" s="5"/>
      <c r="E13" s="6"/>
      <c r="F13" s="23"/>
      <c r="G13" s="4" t="s">
        <v>3</v>
      </c>
      <c r="H13" s="2"/>
      <c r="I13" s="23">
        <f t="shared" ref="I13" si="8">F13+H13+H14+H15</f>
        <v>0</v>
      </c>
      <c r="J13" s="9"/>
      <c r="L13" s="29">
        <f t="shared" ref="L13" si="9">L10+1</f>
        <v>45677</v>
      </c>
      <c r="M13" s="4" t="s">
        <v>3</v>
      </c>
      <c r="N13" s="5"/>
      <c r="O13" s="5"/>
      <c r="P13" s="6"/>
      <c r="Q13" s="23"/>
      <c r="R13" s="4" t="s">
        <v>3</v>
      </c>
      <c r="S13" s="2"/>
      <c r="T13" s="23">
        <f t="shared" ref="T13" si="10">Q13+S13+S14+S15</f>
        <v>0</v>
      </c>
      <c r="U13" s="9"/>
    </row>
    <row r="14" spans="1:23" x14ac:dyDescent="0.4">
      <c r="A14" s="29"/>
      <c r="B14" s="4" t="s">
        <v>4</v>
      </c>
      <c r="C14" s="5"/>
      <c r="D14" s="5"/>
      <c r="E14" s="6"/>
      <c r="F14" s="23"/>
      <c r="G14" s="4" t="s">
        <v>4</v>
      </c>
      <c r="H14" s="2"/>
      <c r="I14" s="23"/>
      <c r="J14" s="9"/>
      <c r="L14" s="29"/>
      <c r="M14" s="4" t="s">
        <v>4</v>
      </c>
      <c r="N14" s="5"/>
      <c r="O14" s="5"/>
      <c r="P14" s="6"/>
      <c r="Q14" s="23"/>
      <c r="R14" s="4" t="s">
        <v>4</v>
      </c>
      <c r="S14" s="2"/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1">A13+1</f>
        <v>45662</v>
      </c>
      <c r="B16" s="4" t="s">
        <v>3</v>
      </c>
      <c r="C16" s="5"/>
      <c r="D16" s="5"/>
      <c r="E16" s="6"/>
      <c r="F16" s="23"/>
      <c r="G16" s="4" t="s">
        <v>3</v>
      </c>
      <c r="H16" s="2"/>
      <c r="I16" s="23">
        <f t="shared" ref="I16" si="12">F16+H16+H17+H18</f>
        <v>0</v>
      </c>
      <c r="J16" s="9"/>
      <c r="L16" s="29">
        <f t="shared" ref="L16" si="13">L13+1</f>
        <v>45678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4">Q16+S16+S17+S18</f>
        <v>0</v>
      </c>
      <c r="U16" s="9"/>
    </row>
    <row r="17" spans="1:21" x14ac:dyDescent="0.4">
      <c r="A17" s="29"/>
      <c r="B17" s="4" t="s">
        <v>4</v>
      </c>
      <c r="C17" s="5"/>
      <c r="D17" s="5"/>
      <c r="E17" s="6"/>
      <c r="F17" s="23"/>
      <c r="G17" s="4" t="s">
        <v>4</v>
      </c>
      <c r="H17" s="2"/>
      <c r="I17" s="23"/>
      <c r="J17" s="9"/>
      <c r="L17" s="29"/>
      <c r="M17" s="4" t="s">
        <v>4</v>
      </c>
      <c r="N17" s="5"/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45663</v>
      </c>
      <c r="B19" s="4" t="s">
        <v>3</v>
      </c>
      <c r="C19" s="5"/>
      <c r="D19" s="5"/>
      <c r="E19" s="6"/>
      <c r="F19" s="23"/>
      <c r="G19" s="4" t="s">
        <v>3</v>
      </c>
      <c r="H19" s="2"/>
      <c r="I19" s="23">
        <f t="shared" ref="I19" si="16">F19+H19+H20+H21</f>
        <v>0</v>
      </c>
      <c r="J19" s="9"/>
      <c r="L19" s="29">
        <f t="shared" ref="L19" si="17">L16+1</f>
        <v>45679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8">Q19+S19+S20+S21</f>
        <v>0</v>
      </c>
      <c r="U19" s="9"/>
    </row>
    <row r="20" spans="1:21" x14ac:dyDescent="0.4">
      <c r="A20" s="29"/>
      <c r="B20" s="4" t="s">
        <v>4</v>
      </c>
      <c r="C20" s="5"/>
      <c r="D20" s="5"/>
      <c r="E20" s="6"/>
      <c r="F20" s="23"/>
      <c r="G20" s="4" t="s">
        <v>4</v>
      </c>
      <c r="H20" s="2"/>
      <c r="I20" s="23"/>
      <c r="J20" s="9"/>
      <c r="L20" s="29"/>
      <c r="M20" s="4" t="s">
        <v>4</v>
      </c>
      <c r="N20" s="5"/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45664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20">F22+H22+H23+H24</f>
        <v>0</v>
      </c>
      <c r="J22" s="9"/>
      <c r="L22" s="29">
        <f t="shared" ref="L22" si="21">L19+1</f>
        <v>45680</v>
      </c>
      <c r="M22" s="4" t="s">
        <v>3</v>
      </c>
      <c r="N22" s="5"/>
      <c r="O22" s="5"/>
      <c r="P22" s="6"/>
      <c r="Q22" s="23"/>
      <c r="R22" s="4" t="s">
        <v>3</v>
      </c>
      <c r="S22" s="2"/>
      <c r="T22" s="23">
        <f t="shared" ref="T22" si="22">Q22+S22+S23+S24</f>
        <v>0</v>
      </c>
      <c r="U22" s="9"/>
    </row>
    <row r="23" spans="1:21" x14ac:dyDescent="0.4">
      <c r="A23" s="29"/>
      <c r="B23" s="4" t="s">
        <v>4</v>
      </c>
      <c r="C23" s="5"/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/>
      <c r="O23" s="5"/>
      <c r="P23" s="6"/>
      <c r="Q23" s="23"/>
      <c r="R23" s="4" t="s">
        <v>4</v>
      </c>
      <c r="S23" s="2"/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3">A22+1</f>
        <v>45665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4">F25+H25+H26+H27</f>
        <v>0</v>
      </c>
      <c r="J25" s="9"/>
      <c r="L25" s="29">
        <f t="shared" ref="L25" si="25">L22+1</f>
        <v>45681</v>
      </c>
      <c r="M25" s="4" t="s">
        <v>3</v>
      </c>
      <c r="N25" s="5"/>
      <c r="O25" s="5"/>
      <c r="P25" s="6"/>
      <c r="Q25" s="23"/>
      <c r="R25" s="4" t="s">
        <v>3</v>
      </c>
      <c r="S25" s="2"/>
      <c r="T25" s="23">
        <f t="shared" ref="T25" si="26">Q25+S25+S26+S27</f>
        <v>0</v>
      </c>
      <c r="U25" s="9"/>
    </row>
    <row r="26" spans="1:21" x14ac:dyDescent="0.4">
      <c r="A26" s="29"/>
      <c r="B26" s="4" t="s">
        <v>4</v>
      </c>
      <c r="C26" s="5"/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/>
      <c r="O26" s="5"/>
      <c r="P26" s="6"/>
      <c r="Q26" s="23"/>
      <c r="R26" s="4" t="s">
        <v>4</v>
      </c>
      <c r="S26" s="2"/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7">A25+1</f>
        <v>45666</v>
      </c>
      <c r="B28" s="4" t="s">
        <v>3</v>
      </c>
      <c r="C28" s="5"/>
      <c r="D28" s="5"/>
      <c r="E28" s="6"/>
      <c r="F28" s="23"/>
      <c r="G28" s="4" t="s">
        <v>3</v>
      </c>
      <c r="H28" s="2"/>
      <c r="I28" s="23">
        <f t="shared" ref="I28" si="28">F28+H28+H29+H30</f>
        <v>0</v>
      </c>
      <c r="J28" s="9"/>
      <c r="L28" s="29">
        <f t="shared" ref="L28" si="29">L25+1</f>
        <v>45682</v>
      </c>
      <c r="M28" s="4" t="s">
        <v>3</v>
      </c>
      <c r="N28" s="5"/>
      <c r="O28" s="5"/>
      <c r="P28" s="6"/>
      <c r="Q28" s="23"/>
      <c r="R28" s="4" t="s">
        <v>3</v>
      </c>
      <c r="S28" s="2"/>
      <c r="T28" s="23">
        <f t="shared" ref="T28" si="30">Q28+S28+S29+S30</f>
        <v>0</v>
      </c>
      <c r="U28" s="9"/>
    </row>
    <row r="29" spans="1:21" x14ac:dyDescent="0.4">
      <c r="A29" s="29"/>
      <c r="B29" s="4" t="s">
        <v>4</v>
      </c>
      <c r="C29" s="5"/>
      <c r="D29" s="5"/>
      <c r="E29" s="6"/>
      <c r="F29" s="23"/>
      <c r="G29" s="4" t="s">
        <v>4</v>
      </c>
      <c r="H29" s="2"/>
      <c r="I29" s="23"/>
      <c r="J29" s="9"/>
      <c r="L29" s="29"/>
      <c r="M29" s="4" t="s">
        <v>4</v>
      </c>
      <c r="N29" s="5"/>
      <c r="O29" s="5"/>
      <c r="P29" s="6"/>
      <c r="Q29" s="23"/>
      <c r="R29" s="4" t="s">
        <v>4</v>
      </c>
      <c r="S29" s="2"/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45667</v>
      </c>
      <c r="B31" s="4" t="s">
        <v>3</v>
      </c>
      <c r="C31" s="5"/>
      <c r="D31" s="5"/>
      <c r="E31" s="6"/>
      <c r="F31" s="23"/>
      <c r="G31" s="4" t="s">
        <v>3</v>
      </c>
      <c r="H31" s="2"/>
      <c r="I31" s="23">
        <f t="shared" ref="I31" si="32">F31+H31+H32+H33</f>
        <v>0</v>
      </c>
      <c r="J31" s="9"/>
      <c r="L31" s="29">
        <f t="shared" ref="L31" si="33">L28+1</f>
        <v>45683</v>
      </c>
      <c r="M31" s="4" t="s">
        <v>3</v>
      </c>
      <c r="N31" s="5"/>
      <c r="O31" s="5"/>
      <c r="P31" s="6"/>
      <c r="Q31" s="23"/>
      <c r="R31" s="4" t="s">
        <v>3</v>
      </c>
      <c r="S31" s="2"/>
      <c r="T31" s="23">
        <f t="shared" ref="T31" si="34">Q31+S31+S32+S33</f>
        <v>0</v>
      </c>
      <c r="U31" s="9"/>
    </row>
    <row r="32" spans="1:21" x14ac:dyDescent="0.4">
      <c r="A32" s="29"/>
      <c r="B32" s="4" t="s">
        <v>4</v>
      </c>
      <c r="C32" s="5"/>
      <c r="D32" s="5"/>
      <c r="E32" s="6"/>
      <c r="F32" s="23"/>
      <c r="G32" s="4" t="s">
        <v>4</v>
      </c>
      <c r="H32" s="2"/>
      <c r="I32" s="23"/>
      <c r="J32" s="9"/>
      <c r="L32" s="29"/>
      <c r="M32" s="4" t="s">
        <v>4</v>
      </c>
      <c r="N32" s="5"/>
      <c r="O32" s="5"/>
      <c r="P32" s="6"/>
      <c r="Q32" s="23"/>
      <c r="R32" s="4" t="s">
        <v>4</v>
      </c>
      <c r="S32" s="2"/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5">A31+1</f>
        <v>45668</v>
      </c>
      <c r="B34" s="4" t="s">
        <v>3</v>
      </c>
      <c r="C34" s="5"/>
      <c r="D34" s="5"/>
      <c r="E34" s="6"/>
      <c r="F34" s="23"/>
      <c r="G34" s="4" t="s">
        <v>3</v>
      </c>
      <c r="H34" s="2"/>
      <c r="I34" s="23">
        <f t="shared" ref="I34" si="36">F34+H34+H35+H36</f>
        <v>0</v>
      </c>
      <c r="J34" s="9"/>
      <c r="L34" s="29">
        <f t="shared" ref="L34" si="37">L31+1</f>
        <v>45684</v>
      </c>
      <c r="M34" s="4" t="s">
        <v>3</v>
      </c>
      <c r="N34" s="5"/>
      <c r="O34" s="5"/>
      <c r="P34" s="6"/>
      <c r="Q34" s="23"/>
      <c r="R34" s="4" t="s">
        <v>3</v>
      </c>
      <c r="S34" s="2"/>
      <c r="T34" s="23">
        <f t="shared" ref="T34" si="38">Q34+S34+S35+S36</f>
        <v>0</v>
      </c>
      <c r="U34" s="9"/>
    </row>
    <row r="35" spans="1:24" x14ac:dyDescent="0.4">
      <c r="A35" s="29"/>
      <c r="B35" s="4" t="s">
        <v>4</v>
      </c>
      <c r="C35" s="5"/>
      <c r="D35" s="5"/>
      <c r="E35" s="6"/>
      <c r="F35" s="23"/>
      <c r="G35" s="4" t="s">
        <v>4</v>
      </c>
      <c r="H35" s="2"/>
      <c r="I35" s="23"/>
      <c r="J35" s="9"/>
      <c r="L35" s="29"/>
      <c r="M35" s="4" t="s">
        <v>4</v>
      </c>
      <c r="N35" s="5"/>
      <c r="O35" s="5"/>
      <c r="P35" s="6"/>
      <c r="Q35" s="23"/>
      <c r="R35" s="4" t="s">
        <v>4</v>
      </c>
      <c r="S35" s="2"/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45669</v>
      </c>
      <c r="B37" s="4" t="s">
        <v>3</v>
      </c>
      <c r="C37" s="5"/>
      <c r="D37" s="5"/>
      <c r="E37" s="6"/>
      <c r="F37" s="23"/>
      <c r="G37" s="4" t="s">
        <v>3</v>
      </c>
      <c r="H37" s="2"/>
      <c r="I37" s="23">
        <f t="shared" ref="I37" si="40">F37+H37+H38+H39</f>
        <v>0</v>
      </c>
      <c r="J37" s="9"/>
      <c r="L37" s="29">
        <f t="shared" ref="L37" si="41">L34+1</f>
        <v>45685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42">Q37+S37+S38+S39</f>
        <v>0</v>
      </c>
      <c r="U37" s="9"/>
      <c r="X37">
        <f>N50</f>
        <v>0</v>
      </c>
    </row>
    <row r="38" spans="1:24" x14ac:dyDescent="0.4">
      <c r="A38" s="29"/>
      <c r="B38" s="4" t="s">
        <v>4</v>
      </c>
      <c r="C38" s="5"/>
      <c r="D38" s="5"/>
      <c r="E38" s="6"/>
      <c r="F38" s="23"/>
      <c r="G38" s="4" t="s">
        <v>4</v>
      </c>
      <c r="H38" s="2"/>
      <c r="I38" s="23"/>
      <c r="J38" s="9"/>
      <c r="L38" s="29"/>
      <c r="M38" s="4" t="s">
        <v>4</v>
      </c>
      <c r="N38" s="5"/>
      <c r="O38" s="5"/>
      <c r="P38" s="6"/>
      <c r="Q38" s="23"/>
      <c r="R38" s="4" t="s">
        <v>4</v>
      </c>
      <c r="S38" s="2"/>
      <c r="T38" s="23"/>
      <c r="U38" s="9"/>
      <c r="X38">
        <f>O50</f>
        <v>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0</v>
      </c>
    </row>
    <row r="40" spans="1:24" x14ac:dyDescent="0.4">
      <c r="A40" s="29">
        <f t="shared" ref="A40" si="43">A37+1</f>
        <v>45670</v>
      </c>
      <c r="B40" s="4" t="s">
        <v>3</v>
      </c>
      <c r="C40" s="5"/>
      <c r="D40" s="5"/>
      <c r="E40" s="6"/>
      <c r="F40" s="23"/>
      <c r="G40" s="4" t="s">
        <v>3</v>
      </c>
      <c r="H40" s="2"/>
      <c r="I40" s="23">
        <f>F40+H40+H41+H42</f>
        <v>0</v>
      </c>
      <c r="J40" s="9"/>
      <c r="L40" s="29">
        <f t="shared" ref="L40" si="44">L37+1</f>
        <v>45686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5">Q40+S40+S41+S42</f>
        <v>0</v>
      </c>
      <c r="U40" s="9"/>
      <c r="X40">
        <f ca="1">U50</f>
        <v>0</v>
      </c>
    </row>
    <row r="41" spans="1:24" x14ac:dyDescent="0.4">
      <c r="A41" s="29"/>
      <c r="B41" s="4" t="s">
        <v>4</v>
      </c>
      <c r="C41" s="5"/>
      <c r="D41" s="5"/>
      <c r="E41" s="6"/>
      <c r="F41" s="23"/>
      <c r="G41" s="4" t="s">
        <v>4</v>
      </c>
      <c r="H41" s="2"/>
      <c r="I41" s="23"/>
      <c r="J41" s="9"/>
      <c r="L41" s="29"/>
      <c r="M41" s="4" t="s">
        <v>4</v>
      </c>
      <c r="N41" s="5"/>
      <c r="O41" s="5"/>
      <c r="P41" s="6"/>
      <c r="Q41" s="23"/>
      <c r="R41" s="4" t="s">
        <v>4</v>
      </c>
      <c r="S41" s="2"/>
      <c r="T41" s="23"/>
      <c r="U41" s="9"/>
      <c r="X41">
        <f ca="1">Q53</f>
        <v>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 ca="1">S53</f>
        <v>0</v>
      </c>
    </row>
    <row r="43" spans="1:24" x14ac:dyDescent="0.4">
      <c r="A43" s="29">
        <f t="shared" ref="A43" si="46">A40+1</f>
        <v>45671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7">F43+H43+H44+H45</f>
        <v>0</v>
      </c>
      <c r="J43" s="9"/>
      <c r="L43" s="29">
        <f t="shared" ref="L43" si="48">L40+1</f>
        <v>45687</v>
      </c>
      <c r="M43" s="4" t="s">
        <v>3</v>
      </c>
      <c r="N43" s="5"/>
      <c r="O43" s="5"/>
      <c r="P43" s="6"/>
      <c r="Q43" s="23"/>
      <c r="R43" s="4" t="s">
        <v>3</v>
      </c>
      <c r="S43" s="2"/>
      <c r="T43" s="23">
        <f t="shared" ref="T43" si="49">Q43+S43+S44+S45</f>
        <v>0</v>
      </c>
      <c r="U43" s="9"/>
    </row>
    <row r="44" spans="1:24" x14ac:dyDescent="0.4">
      <c r="A44" s="29"/>
      <c r="B44" s="4" t="s">
        <v>4</v>
      </c>
      <c r="C44" s="5"/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/>
      <c r="O44" s="5"/>
      <c r="P44" s="6"/>
      <c r="Q44" s="23"/>
      <c r="R44" s="4" t="s">
        <v>4</v>
      </c>
      <c r="S44" s="2"/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50">A43+1</f>
        <v>45672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1">F46+H46+H47+H48</f>
        <v>0</v>
      </c>
      <c r="J46" s="9"/>
      <c r="L46" s="29">
        <f t="shared" ref="L46" si="52">L43+1</f>
        <v>45688</v>
      </c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3">Q46+S46+S47+S48</f>
        <v>0</v>
      </c>
      <c r="U46" s="9"/>
    </row>
    <row r="47" spans="1:24" x14ac:dyDescent="0.4">
      <c r="A47" s="29"/>
      <c r="B47" s="4" t="s">
        <v>4</v>
      </c>
      <c r="C47" s="5"/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4">A46+1</f>
        <v>45673</v>
      </c>
      <c r="B49" s="4" t="s">
        <v>3</v>
      </c>
      <c r="C49" s="5"/>
      <c r="D49" s="5"/>
      <c r="E49" s="6"/>
      <c r="F49" s="23"/>
      <c r="G49" s="4" t="s">
        <v>3</v>
      </c>
      <c r="H49" s="2"/>
      <c r="I49" s="23">
        <f t="shared" ref="I49" si="55">F49+H49+H50+H51</f>
        <v>0</v>
      </c>
      <c r="J49" s="9"/>
      <c r="L49" s="25" t="s">
        <v>11</v>
      </c>
      <c r="M49" s="26"/>
      <c r="N49" s="13" t="s">
        <v>21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/>
      <c r="D50" s="5"/>
      <c r="E50" s="6"/>
      <c r="F50" s="23"/>
      <c r="G50" s="4" t="s">
        <v>4</v>
      </c>
      <c r="H50" s="2"/>
      <c r="I50" s="23"/>
      <c r="J50" s="9"/>
      <c r="L50" s="27">
        <f>W7</f>
        <v>0</v>
      </c>
      <c r="M50" s="28" t="s">
        <v>12</v>
      </c>
      <c r="N50" s="23">
        <f>MAX((L50-20)*5000,0)</f>
        <v>0</v>
      </c>
      <c r="O50" s="31">
        <f>SUM(F4:F51,Q4:Q48)</f>
        <v>0</v>
      </c>
      <c r="P50" s="31"/>
      <c r="Q50" s="31"/>
      <c r="R50" s="31"/>
      <c r="S50" s="23">
        <f>SUM(H4:H51,S4:S48)</f>
        <v>0</v>
      </c>
      <c r="T50" s="23"/>
      <c r="U50" s="22">
        <f ca="1">IF(U50="","0",U50)</f>
        <v>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25" t="s">
        <v>27</v>
      </c>
      <c r="I52" s="26"/>
      <c r="J52" s="14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29</v>
      </c>
      <c r="I53" s="23"/>
      <c r="J53" s="41">
        <v>45689</v>
      </c>
      <c r="L53" s="47"/>
      <c r="M53" s="48"/>
      <c r="N53" s="48"/>
      <c r="O53" s="48"/>
      <c r="P53" s="19"/>
      <c r="Q53" s="31">
        <f ca="1">IF(Q53="","0",Q53)</f>
        <v>0</v>
      </c>
      <c r="R53" s="31"/>
      <c r="S53" s="23">
        <f ca="1">IF(S53="","0",S53)</f>
        <v>0</v>
      </c>
      <c r="T53" s="23"/>
      <c r="U53" s="39">
        <f ca="1">SUM(X37:X42)</f>
        <v>0</v>
      </c>
    </row>
    <row r="54" spans="1:21" ht="19.5" customHeight="1" thickBot="1" x14ac:dyDescent="0.45">
      <c r="H54" s="27"/>
      <c r="I54" s="23"/>
      <c r="J54" s="22"/>
      <c r="L54" s="49"/>
      <c r="M54" s="50"/>
      <c r="N54" s="50"/>
      <c r="O54" s="50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51"/>
      <c r="M55" s="52"/>
      <c r="N55" s="52"/>
      <c r="O55" s="52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J53:J55"/>
    <mergeCell ref="H52:I52"/>
    <mergeCell ref="H53:I55"/>
    <mergeCell ref="L52:O52"/>
    <mergeCell ref="Q52:R52"/>
    <mergeCell ref="S52:T52"/>
    <mergeCell ref="Q53:R54"/>
    <mergeCell ref="S53:T54"/>
    <mergeCell ref="L53:O55"/>
    <mergeCell ref="Q55:R55"/>
    <mergeCell ref="S55:T55"/>
    <mergeCell ref="U53:U55"/>
    <mergeCell ref="A22:A24"/>
    <mergeCell ref="A25:A27"/>
    <mergeCell ref="A28:A30"/>
    <mergeCell ref="A31:A33"/>
    <mergeCell ref="A34:A36"/>
    <mergeCell ref="A4:A6"/>
    <mergeCell ref="A7:A9"/>
    <mergeCell ref="A10:A12"/>
    <mergeCell ref="A13:A15"/>
    <mergeCell ref="A16:A18"/>
    <mergeCell ref="L10:L12"/>
    <mergeCell ref="Q10:Q12"/>
    <mergeCell ref="T10:T12"/>
    <mergeCell ref="L13:L15"/>
    <mergeCell ref="Q13:Q15"/>
    <mergeCell ref="T13:T15"/>
    <mergeCell ref="I37:I39"/>
    <mergeCell ref="L25:L27"/>
    <mergeCell ref="Q25:Q27"/>
    <mergeCell ref="T25:T27"/>
    <mergeCell ref="L28:L30"/>
    <mergeCell ref="Q28:Q30"/>
    <mergeCell ref="T28:T30"/>
    <mergeCell ref="L1:U2"/>
    <mergeCell ref="M3:N3"/>
    <mergeCell ref="R3:S3"/>
    <mergeCell ref="L4:L6"/>
    <mergeCell ref="Q4:Q6"/>
    <mergeCell ref="T4:T6"/>
    <mergeCell ref="L7:L9"/>
    <mergeCell ref="Q7:Q9"/>
    <mergeCell ref="I19:I21"/>
    <mergeCell ref="A1:J2"/>
    <mergeCell ref="I4:I6"/>
    <mergeCell ref="I7:I9"/>
    <mergeCell ref="I10:I12"/>
    <mergeCell ref="I13:I15"/>
    <mergeCell ref="F4:F6"/>
    <mergeCell ref="F7:F9"/>
    <mergeCell ref="F10:F12"/>
    <mergeCell ref="F13:F15"/>
    <mergeCell ref="F16:F18"/>
    <mergeCell ref="F19:F21"/>
    <mergeCell ref="A19:A21"/>
    <mergeCell ref="I16:I18"/>
    <mergeCell ref="L16:L18"/>
    <mergeCell ref="T7:T9"/>
    <mergeCell ref="B3:C3"/>
    <mergeCell ref="I22:I24"/>
    <mergeCell ref="I25:I27"/>
    <mergeCell ref="I28:I30"/>
    <mergeCell ref="I31:I33"/>
    <mergeCell ref="I34:I36"/>
    <mergeCell ref="F31:F33"/>
    <mergeCell ref="F34:F36"/>
    <mergeCell ref="F37:F39"/>
    <mergeCell ref="G3:H3"/>
    <mergeCell ref="F22:F24"/>
    <mergeCell ref="F25:F27"/>
    <mergeCell ref="F28:F30"/>
    <mergeCell ref="L31:L33"/>
    <mergeCell ref="Q31:Q33"/>
    <mergeCell ref="T31:T33"/>
    <mergeCell ref="L34:L36"/>
    <mergeCell ref="Q34:Q36"/>
    <mergeCell ref="T34:T36"/>
    <mergeCell ref="A37:A39"/>
    <mergeCell ref="Q16:Q18"/>
    <mergeCell ref="T16:T18"/>
    <mergeCell ref="L19:L21"/>
    <mergeCell ref="Q19:Q21"/>
    <mergeCell ref="T19:T21"/>
    <mergeCell ref="L22:L24"/>
    <mergeCell ref="Q22:Q24"/>
    <mergeCell ref="T22:T24"/>
    <mergeCell ref="L37:L39"/>
    <mergeCell ref="Q37:Q39"/>
    <mergeCell ref="T37:T39"/>
    <mergeCell ref="L40:L42"/>
    <mergeCell ref="Q40:Q42"/>
    <mergeCell ref="T40:T42"/>
    <mergeCell ref="L43:L45"/>
    <mergeCell ref="Q43:Q45"/>
    <mergeCell ref="T43:T45"/>
    <mergeCell ref="L46:L48"/>
    <mergeCell ref="A43:A45"/>
    <mergeCell ref="F43:F45"/>
    <mergeCell ref="I43:I45"/>
    <mergeCell ref="A46:A48"/>
    <mergeCell ref="F46:F48"/>
    <mergeCell ref="I46:I48"/>
    <mergeCell ref="A40:A42"/>
    <mergeCell ref="F40:F42"/>
    <mergeCell ref="I40:I42"/>
    <mergeCell ref="U50:U51"/>
    <mergeCell ref="Q46:Q48"/>
    <mergeCell ref="T46:T48"/>
    <mergeCell ref="L49:M49"/>
    <mergeCell ref="L50:L51"/>
    <mergeCell ref="M50:M51"/>
    <mergeCell ref="S49:T49"/>
    <mergeCell ref="S50:T51"/>
    <mergeCell ref="A49:A51"/>
    <mergeCell ref="F49:F51"/>
    <mergeCell ref="I49:I51"/>
    <mergeCell ref="O49:R49"/>
    <mergeCell ref="N50:N51"/>
    <mergeCell ref="O50:R51"/>
  </mergeCells>
  <phoneticPr fontId="1"/>
  <dataValidations count="1">
    <dataValidation type="list" allowBlank="1" showInputMessage="1" showErrorMessage="1" sqref="D4:D51 O4:O48" xr:uid="{A3AABF6C-1A70-40DF-91DB-3FE695303DCC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9" scale="43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0211-3F30-4C29-B18E-98E3702B1CE4}">
  <sheetPr>
    <pageSetUpPr fitToPage="1"/>
  </sheetPr>
  <dimension ref="A1:X56"/>
  <sheetViews>
    <sheetView topLeftCell="A23" workbookViewId="0">
      <selection activeCell="N31" sqref="N31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 t="s">
        <v>72</v>
      </c>
      <c r="O4" s="5" t="s">
        <v>19</v>
      </c>
      <c r="P4" s="6"/>
      <c r="Q4" s="23">
        <v>9000</v>
      </c>
      <c r="R4" s="4" t="s">
        <v>3</v>
      </c>
      <c r="S4" s="2">
        <v>3000</v>
      </c>
      <c r="T4" s="23">
        <f t="shared" ref="T4" si="0">Q4+S4+S5+S6</f>
        <v>19500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72</v>
      </c>
      <c r="O5" s="5" t="s">
        <v>19</v>
      </c>
      <c r="P5" s="6"/>
      <c r="Q5" s="23"/>
      <c r="R5" s="4" t="s">
        <v>4</v>
      </c>
      <c r="S5" s="2">
        <v>3000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 t="s">
        <v>54</v>
      </c>
      <c r="O6" s="5" t="s">
        <v>51</v>
      </c>
      <c r="P6" s="6"/>
      <c r="Q6" s="23"/>
      <c r="R6" s="4" t="s">
        <v>5</v>
      </c>
      <c r="S6" s="2">
        <v>4500</v>
      </c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49</v>
      </c>
      <c r="D7" s="5" t="s">
        <v>51</v>
      </c>
      <c r="E7" s="6"/>
      <c r="F7" s="23">
        <v>9000</v>
      </c>
      <c r="G7" s="4" t="s">
        <v>3</v>
      </c>
      <c r="H7" s="2">
        <v>3500</v>
      </c>
      <c r="I7" s="23">
        <f t="shared" ref="I7" si="1">F7+H7+H8+H9</f>
        <v>17000</v>
      </c>
      <c r="J7" s="9"/>
      <c r="L7" s="29">
        <f>L4+1</f>
        <v>45826</v>
      </c>
      <c r="M7" s="4" t="s">
        <v>3</v>
      </c>
      <c r="N7" s="5" t="s">
        <v>73</v>
      </c>
      <c r="O7" s="5" t="s">
        <v>19</v>
      </c>
      <c r="P7" s="6"/>
      <c r="Q7" s="23">
        <v>9000</v>
      </c>
      <c r="R7" s="4" t="s">
        <v>3</v>
      </c>
      <c r="S7" s="2">
        <v>4000</v>
      </c>
      <c r="T7" s="23">
        <f t="shared" ref="T7" si="2">Q7+S7+S8+S9</f>
        <v>21000</v>
      </c>
      <c r="U7" s="9"/>
      <c r="W7">
        <f>COUNT(F4:F51,Q4:Q48)</f>
        <v>22</v>
      </c>
    </row>
    <row r="8" spans="1:23" x14ac:dyDescent="0.4">
      <c r="A8" s="29"/>
      <c r="B8" s="4" t="s">
        <v>4</v>
      </c>
      <c r="C8" s="5" t="s">
        <v>50</v>
      </c>
      <c r="D8" s="5" t="s">
        <v>51</v>
      </c>
      <c r="E8" s="6"/>
      <c r="F8" s="23"/>
      <c r="G8" s="4" t="s">
        <v>4</v>
      </c>
      <c r="H8" s="2">
        <v>4500</v>
      </c>
      <c r="I8" s="23"/>
      <c r="J8" s="9"/>
      <c r="L8" s="29"/>
      <c r="M8" s="4" t="s">
        <v>4</v>
      </c>
      <c r="N8" s="5" t="s">
        <v>74</v>
      </c>
      <c r="O8" s="5" t="s">
        <v>51</v>
      </c>
      <c r="P8" s="6"/>
      <c r="Q8" s="23"/>
      <c r="R8" s="4" t="s">
        <v>4</v>
      </c>
      <c r="S8" s="2">
        <v>3500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 t="s">
        <v>54</v>
      </c>
      <c r="O9" s="5" t="s">
        <v>51</v>
      </c>
      <c r="P9" s="6"/>
      <c r="Q9" s="23"/>
      <c r="R9" s="4" t="s">
        <v>5</v>
      </c>
      <c r="S9" s="2">
        <v>4500</v>
      </c>
      <c r="T9" s="23"/>
      <c r="U9" s="9"/>
    </row>
    <row r="10" spans="1:23" x14ac:dyDescent="0.4">
      <c r="A10" s="29">
        <f t="shared" ref="A10" si="3">A7+1</f>
        <v>45811</v>
      </c>
      <c r="B10" s="4" t="s">
        <v>3</v>
      </c>
      <c r="C10" s="5" t="s">
        <v>52</v>
      </c>
      <c r="D10" s="5" t="s">
        <v>51</v>
      </c>
      <c r="E10" s="6"/>
      <c r="F10" s="23">
        <v>9000</v>
      </c>
      <c r="G10" s="4" t="s">
        <v>3</v>
      </c>
      <c r="H10" s="2">
        <v>9000</v>
      </c>
      <c r="I10" s="23">
        <f t="shared" ref="I10" si="4">F10+H10+H11+H12</f>
        <v>18000</v>
      </c>
      <c r="J10" s="9"/>
      <c r="L10" s="29">
        <f t="shared" ref="L10" si="5">L7+1</f>
        <v>45827</v>
      </c>
      <c r="M10" s="4" t="s">
        <v>3</v>
      </c>
      <c r="N10" s="5" t="s">
        <v>75</v>
      </c>
      <c r="O10" s="5" t="s">
        <v>51</v>
      </c>
      <c r="P10" s="6"/>
      <c r="Q10" s="23">
        <v>9000</v>
      </c>
      <c r="R10" s="4" t="s">
        <v>3</v>
      </c>
      <c r="S10" s="2">
        <v>3500</v>
      </c>
      <c r="T10" s="23">
        <f t="shared" ref="T10" si="6">Q10+S10+S11+S12</f>
        <v>22000</v>
      </c>
      <c r="U10" s="9"/>
    </row>
    <row r="11" spans="1:23" x14ac:dyDescent="0.4">
      <c r="A11" s="29"/>
      <c r="B11" s="4" t="s">
        <v>4</v>
      </c>
      <c r="C11" s="5"/>
      <c r="D11" s="5"/>
      <c r="E11" s="6"/>
      <c r="F11" s="23"/>
      <c r="G11" s="4" t="s">
        <v>4</v>
      </c>
      <c r="H11" s="2"/>
      <c r="I11" s="23"/>
      <c r="J11" s="9"/>
      <c r="L11" s="29"/>
      <c r="M11" s="4" t="s">
        <v>4</v>
      </c>
      <c r="N11" s="5" t="s">
        <v>76</v>
      </c>
      <c r="O11" s="5" t="s">
        <v>51</v>
      </c>
      <c r="P11" s="6"/>
      <c r="Q11" s="23"/>
      <c r="R11" s="4" t="s">
        <v>4</v>
      </c>
      <c r="S11" s="2">
        <v>3000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 t="s">
        <v>77</v>
      </c>
      <c r="O12" s="5" t="s">
        <v>51</v>
      </c>
      <c r="P12" s="6"/>
      <c r="Q12" s="23"/>
      <c r="R12" s="4" t="s">
        <v>5</v>
      </c>
      <c r="S12" s="2">
        <v>6500</v>
      </c>
      <c r="T12" s="23"/>
      <c r="U12" s="9"/>
    </row>
    <row r="13" spans="1:23" x14ac:dyDescent="0.4">
      <c r="A13" s="29">
        <f t="shared" ref="A13" si="7">A10+1</f>
        <v>45812</v>
      </c>
      <c r="B13" s="4" t="s">
        <v>3</v>
      </c>
      <c r="C13" s="5" t="s">
        <v>53</v>
      </c>
      <c r="D13" s="5" t="s">
        <v>51</v>
      </c>
      <c r="E13" s="6"/>
      <c r="F13" s="23">
        <v>9000</v>
      </c>
      <c r="G13" s="4" t="s">
        <v>3</v>
      </c>
      <c r="H13" s="2">
        <v>3000</v>
      </c>
      <c r="I13" s="23">
        <f t="shared" ref="I13" si="8">F13+H13+H14+H15</f>
        <v>15500</v>
      </c>
      <c r="J13" s="9"/>
      <c r="L13" s="29">
        <f t="shared" ref="L13" si="9">L10+1</f>
        <v>45828</v>
      </c>
      <c r="M13" s="4" t="s">
        <v>3</v>
      </c>
      <c r="N13" s="5" t="s">
        <v>78</v>
      </c>
      <c r="O13" s="5" t="s">
        <v>51</v>
      </c>
      <c r="P13" s="6"/>
      <c r="Q13" s="23">
        <v>9000</v>
      </c>
      <c r="R13" s="4" t="s">
        <v>3</v>
      </c>
      <c r="S13" s="2">
        <v>6500</v>
      </c>
      <c r="T13" s="23">
        <f t="shared" ref="T13" si="10">Q13+S13+S14+S15</f>
        <v>20000</v>
      </c>
      <c r="U13" s="9"/>
    </row>
    <row r="14" spans="1:23" x14ac:dyDescent="0.4">
      <c r="A14" s="29"/>
      <c r="B14" s="4" t="s">
        <v>4</v>
      </c>
      <c r="C14" s="5" t="s">
        <v>54</v>
      </c>
      <c r="D14" s="5" t="s">
        <v>51</v>
      </c>
      <c r="E14" s="6"/>
      <c r="F14" s="23"/>
      <c r="G14" s="4" t="s">
        <v>4</v>
      </c>
      <c r="H14" s="2">
        <v>3500</v>
      </c>
      <c r="I14" s="23"/>
      <c r="J14" s="9"/>
      <c r="L14" s="29"/>
      <c r="M14" s="4" t="s">
        <v>4</v>
      </c>
      <c r="N14" s="5" t="s">
        <v>79</v>
      </c>
      <c r="O14" s="5" t="s">
        <v>51</v>
      </c>
      <c r="P14" s="6"/>
      <c r="Q14" s="23"/>
      <c r="R14" s="4" t="s">
        <v>4</v>
      </c>
      <c r="S14" s="2">
        <v>4500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1">A13+1</f>
        <v>45813</v>
      </c>
      <c r="B16" s="4" t="s">
        <v>3</v>
      </c>
      <c r="C16" s="5" t="s">
        <v>56</v>
      </c>
      <c r="D16" s="5" t="s">
        <v>51</v>
      </c>
      <c r="E16" s="6"/>
      <c r="F16" s="23">
        <v>9000</v>
      </c>
      <c r="G16" s="4" t="s">
        <v>3</v>
      </c>
      <c r="H16" s="2">
        <v>3000</v>
      </c>
      <c r="I16" s="23">
        <f t="shared" ref="I16" si="12">F16+H16+H17+H18</f>
        <v>19500</v>
      </c>
      <c r="J16" s="9"/>
      <c r="L16" s="29">
        <f t="shared" ref="L16" si="13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4">Q16+S16+S17+S18</f>
        <v>0</v>
      </c>
      <c r="U16" s="9"/>
    </row>
    <row r="17" spans="1:21" x14ac:dyDescent="0.4">
      <c r="A17" s="29"/>
      <c r="B17" s="4" t="s">
        <v>4</v>
      </c>
      <c r="C17" s="5" t="s">
        <v>55</v>
      </c>
      <c r="D17" s="5" t="s">
        <v>51</v>
      </c>
      <c r="E17" s="6"/>
      <c r="F17" s="23"/>
      <c r="G17" s="4" t="s">
        <v>4</v>
      </c>
      <c r="H17" s="2">
        <v>3000</v>
      </c>
      <c r="I17" s="23"/>
      <c r="J17" s="9"/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 t="s">
        <v>54</v>
      </c>
      <c r="D18" s="5"/>
      <c r="E18" s="6"/>
      <c r="F18" s="23"/>
      <c r="G18" s="4" t="s">
        <v>5</v>
      </c>
      <c r="H18" s="2">
        <v>4500</v>
      </c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45814</v>
      </c>
      <c r="B19" s="4" t="s">
        <v>3</v>
      </c>
      <c r="C19" s="5" t="s">
        <v>57</v>
      </c>
      <c r="D19" s="5" t="s">
        <v>51</v>
      </c>
      <c r="E19" s="6"/>
      <c r="F19" s="23">
        <v>9000</v>
      </c>
      <c r="G19" s="4" t="s">
        <v>3</v>
      </c>
      <c r="H19" s="2">
        <v>3500</v>
      </c>
      <c r="I19" s="23">
        <f t="shared" ref="I19" si="16">F19+H19+H20+H21</f>
        <v>22000</v>
      </c>
      <c r="J19" s="9"/>
      <c r="L19" s="29">
        <f t="shared" ref="L19" si="17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8">Q19+S19+S20+S21</f>
        <v>0</v>
      </c>
      <c r="U19" s="9"/>
    </row>
    <row r="20" spans="1:21" x14ac:dyDescent="0.4">
      <c r="A20" s="29"/>
      <c r="B20" s="4" t="s">
        <v>4</v>
      </c>
      <c r="C20" s="5" t="s">
        <v>58</v>
      </c>
      <c r="D20" s="5" t="s">
        <v>51</v>
      </c>
      <c r="E20" s="6"/>
      <c r="F20" s="23"/>
      <c r="G20" s="4" t="s">
        <v>4</v>
      </c>
      <c r="H20" s="2">
        <v>3000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 t="s">
        <v>59</v>
      </c>
      <c r="D21" s="5" t="s">
        <v>51</v>
      </c>
      <c r="E21" s="6"/>
      <c r="F21" s="23"/>
      <c r="G21" s="4" t="s">
        <v>5</v>
      </c>
      <c r="H21" s="2">
        <v>6500</v>
      </c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20">F22+H22+H23+H24</f>
        <v>0</v>
      </c>
      <c r="J22" s="9"/>
      <c r="L22" s="29">
        <f t="shared" ref="L22" si="21">L19+1</f>
        <v>45831</v>
      </c>
      <c r="M22" s="4" t="s">
        <v>3</v>
      </c>
      <c r="N22" s="5" t="s">
        <v>80</v>
      </c>
      <c r="O22" s="5" t="s">
        <v>51</v>
      </c>
      <c r="P22" s="6"/>
      <c r="Q22" s="23">
        <v>9000</v>
      </c>
      <c r="R22" s="4" t="s">
        <v>3</v>
      </c>
      <c r="S22" s="2">
        <v>2500</v>
      </c>
      <c r="T22" s="23">
        <f t="shared" ref="T22" si="22">Q22+S22+S23+S24</f>
        <v>19000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58</v>
      </c>
      <c r="O23" s="5" t="s">
        <v>51</v>
      </c>
      <c r="P23" s="6"/>
      <c r="Q23" s="23"/>
      <c r="R23" s="4" t="s">
        <v>4</v>
      </c>
      <c r="S23" s="2">
        <v>3000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 t="s">
        <v>79</v>
      </c>
      <c r="O24" s="5" t="s">
        <v>51</v>
      </c>
      <c r="P24" s="6"/>
      <c r="Q24" s="23"/>
      <c r="R24" s="4" t="s">
        <v>5</v>
      </c>
      <c r="S24" s="2">
        <v>4500</v>
      </c>
      <c r="T24" s="23"/>
      <c r="U24" s="9"/>
    </row>
    <row r="25" spans="1:21" x14ac:dyDescent="0.4">
      <c r="A25" s="29">
        <f t="shared" ref="A25" si="23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4">F25+H25+H26+H27</f>
        <v>0</v>
      </c>
      <c r="J25" s="9"/>
      <c r="L25" s="29">
        <f t="shared" ref="L25" si="25">L22+1</f>
        <v>45832</v>
      </c>
      <c r="M25" s="4" t="s">
        <v>3</v>
      </c>
      <c r="N25" s="5" t="s">
        <v>81</v>
      </c>
      <c r="O25" s="5" t="s">
        <v>51</v>
      </c>
      <c r="P25" s="6"/>
      <c r="Q25" s="23">
        <v>9000</v>
      </c>
      <c r="R25" s="4" t="s">
        <v>3</v>
      </c>
      <c r="S25" s="2">
        <v>4500</v>
      </c>
      <c r="T25" s="23">
        <f t="shared" ref="T25" si="26">Q25+S25+S26+S27</f>
        <v>21000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82</v>
      </c>
      <c r="O26" s="5" t="s">
        <v>51</v>
      </c>
      <c r="P26" s="6"/>
      <c r="Q26" s="23"/>
      <c r="R26" s="4" t="s">
        <v>4</v>
      </c>
      <c r="S26" s="2">
        <v>3000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 t="s">
        <v>54</v>
      </c>
      <c r="O27" s="5" t="s">
        <v>51</v>
      </c>
      <c r="P27" s="6"/>
      <c r="Q27" s="23"/>
      <c r="R27" s="4" t="s">
        <v>5</v>
      </c>
      <c r="S27" s="2">
        <v>4500</v>
      </c>
      <c r="T27" s="23"/>
      <c r="U27" s="9"/>
    </row>
    <row r="28" spans="1:21" x14ac:dyDescent="0.4">
      <c r="A28" s="29">
        <f t="shared" ref="A28" si="27">A25+1</f>
        <v>45817</v>
      </c>
      <c r="B28" s="4" t="s">
        <v>3</v>
      </c>
      <c r="C28" s="5" t="s">
        <v>61</v>
      </c>
      <c r="D28" s="5" t="s">
        <v>51</v>
      </c>
      <c r="E28" s="6"/>
      <c r="F28" s="23">
        <v>9000</v>
      </c>
      <c r="G28" s="4" t="s">
        <v>3</v>
      </c>
      <c r="H28" s="2">
        <v>6500</v>
      </c>
      <c r="I28" s="23">
        <f t="shared" ref="I28" si="28">F28+H28+H29+H30</f>
        <v>22000</v>
      </c>
      <c r="J28" s="9"/>
      <c r="L28" s="29">
        <f t="shared" ref="L28" si="29">L25+1</f>
        <v>45833</v>
      </c>
      <c r="M28" s="4" t="s">
        <v>3</v>
      </c>
      <c r="N28" s="5" t="s">
        <v>83</v>
      </c>
      <c r="O28" s="5" t="s">
        <v>84</v>
      </c>
      <c r="P28" s="6"/>
      <c r="Q28" s="23">
        <v>9000</v>
      </c>
      <c r="R28" s="4" t="s">
        <v>3</v>
      </c>
      <c r="S28" s="2">
        <v>6000</v>
      </c>
      <c r="T28" s="23">
        <f t="shared" ref="T28" si="30">Q28+S28+S29+S30</f>
        <v>18500</v>
      </c>
      <c r="U28" s="9" t="s">
        <v>85</v>
      </c>
    </row>
    <row r="29" spans="1:21" x14ac:dyDescent="0.4">
      <c r="A29" s="29"/>
      <c r="B29" s="4" t="s">
        <v>4</v>
      </c>
      <c r="C29" s="5" t="s">
        <v>62</v>
      </c>
      <c r="D29" s="5" t="s">
        <v>51</v>
      </c>
      <c r="E29" s="6"/>
      <c r="F29" s="23"/>
      <c r="G29" s="4" t="s">
        <v>4</v>
      </c>
      <c r="H29" s="2">
        <v>6500</v>
      </c>
      <c r="I29" s="23"/>
      <c r="J29" s="9"/>
      <c r="L29" s="29"/>
      <c r="M29" s="4" t="s">
        <v>4</v>
      </c>
      <c r="N29" s="5" t="s">
        <v>54</v>
      </c>
      <c r="O29" s="5" t="s">
        <v>51</v>
      </c>
      <c r="P29" s="6"/>
      <c r="Q29" s="23"/>
      <c r="R29" s="4" t="s">
        <v>4</v>
      </c>
      <c r="S29" s="2">
        <v>3500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45818</v>
      </c>
      <c r="B31" s="4" t="s">
        <v>3</v>
      </c>
      <c r="C31" s="5" t="s">
        <v>63</v>
      </c>
      <c r="D31" s="5" t="s">
        <v>51</v>
      </c>
      <c r="E31" s="6"/>
      <c r="F31" s="23">
        <v>9000</v>
      </c>
      <c r="G31" s="4" t="s">
        <v>3</v>
      </c>
      <c r="H31" s="2">
        <v>7500</v>
      </c>
      <c r="I31" s="23">
        <f t="shared" ref="I31" si="32">F31+H31+H32+H33</f>
        <v>21000</v>
      </c>
      <c r="J31" s="9"/>
      <c r="L31" s="29">
        <f t="shared" ref="L31" si="33">L28+1</f>
        <v>45834</v>
      </c>
      <c r="M31" s="4" t="s">
        <v>3</v>
      </c>
      <c r="N31" s="5" t="s">
        <v>86</v>
      </c>
      <c r="O31" s="5" t="s">
        <v>51</v>
      </c>
      <c r="P31" s="6"/>
      <c r="Q31" s="23">
        <v>9000</v>
      </c>
      <c r="R31" s="4" t="s">
        <v>3</v>
      </c>
      <c r="S31" s="2">
        <v>3500</v>
      </c>
      <c r="T31" s="23">
        <f t="shared" ref="T31" si="34">Q31+S31+S32+S33</f>
        <v>22500</v>
      </c>
      <c r="U31" s="9"/>
    </row>
    <row r="32" spans="1:21" x14ac:dyDescent="0.4">
      <c r="A32" s="29"/>
      <c r="B32" s="4" t="s">
        <v>4</v>
      </c>
      <c r="C32" s="5" t="s">
        <v>54</v>
      </c>
      <c r="D32" s="5" t="s">
        <v>51</v>
      </c>
      <c r="E32" s="6"/>
      <c r="F32" s="23"/>
      <c r="G32" s="4" t="s">
        <v>4</v>
      </c>
      <c r="H32" s="2">
        <v>4500</v>
      </c>
      <c r="I32" s="23"/>
      <c r="J32" s="9"/>
      <c r="L32" s="29"/>
      <c r="M32" s="4" t="s">
        <v>4</v>
      </c>
      <c r="N32" s="5" t="s">
        <v>87</v>
      </c>
      <c r="O32" s="5" t="s">
        <v>51</v>
      </c>
      <c r="P32" s="6"/>
      <c r="Q32" s="23"/>
      <c r="R32" s="4" t="s">
        <v>4</v>
      </c>
      <c r="S32" s="2">
        <v>3500</v>
      </c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 t="s">
        <v>77</v>
      </c>
      <c r="O33" s="5" t="s">
        <v>51</v>
      </c>
      <c r="P33" s="6"/>
      <c r="Q33" s="23"/>
      <c r="R33" s="4" t="s">
        <v>5</v>
      </c>
      <c r="S33" s="2">
        <v>6500</v>
      </c>
      <c r="T33" s="23"/>
      <c r="U33" s="9"/>
    </row>
    <row r="34" spans="1:24" x14ac:dyDescent="0.4">
      <c r="A34" s="29">
        <f t="shared" ref="A34" si="35">A31+1</f>
        <v>45819</v>
      </c>
      <c r="B34" s="4" t="s">
        <v>3</v>
      </c>
      <c r="C34" s="5" t="s">
        <v>64</v>
      </c>
      <c r="D34" s="5" t="s">
        <v>51</v>
      </c>
      <c r="E34" s="6"/>
      <c r="F34" s="23">
        <v>9000</v>
      </c>
      <c r="G34" s="4" t="s">
        <v>3</v>
      </c>
      <c r="H34" s="2">
        <v>3000</v>
      </c>
      <c r="I34" s="23">
        <f t="shared" ref="I34" si="36">F34+H34+H35+H36</f>
        <v>15500</v>
      </c>
      <c r="J34" s="9"/>
      <c r="L34" s="29">
        <f t="shared" ref="L34" si="37">L31+1</f>
        <v>45835</v>
      </c>
      <c r="M34" s="4" t="s">
        <v>3</v>
      </c>
      <c r="N34" s="5" t="s">
        <v>78</v>
      </c>
      <c r="O34" s="5" t="s">
        <v>51</v>
      </c>
      <c r="P34" s="6"/>
      <c r="Q34" s="23">
        <v>9000</v>
      </c>
      <c r="R34" s="4" t="s">
        <v>3</v>
      </c>
      <c r="S34" s="2">
        <v>6500</v>
      </c>
      <c r="T34" s="23">
        <f t="shared" ref="T34" si="38">Q34+S34+S35+S36</f>
        <v>20000</v>
      </c>
      <c r="U34" s="9"/>
    </row>
    <row r="35" spans="1:24" x14ac:dyDescent="0.4">
      <c r="A35" s="29"/>
      <c r="B35" s="4" t="s">
        <v>4</v>
      </c>
      <c r="C35" s="5" t="s">
        <v>54</v>
      </c>
      <c r="D35" s="5" t="s">
        <v>51</v>
      </c>
      <c r="E35" s="6"/>
      <c r="F35" s="23"/>
      <c r="G35" s="4" t="s">
        <v>4</v>
      </c>
      <c r="H35" s="2">
        <v>3500</v>
      </c>
      <c r="I35" s="23"/>
      <c r="J35" s="9"/>
      <c r="L35" s="29"/>
      <c r="M35" s="4" t="s">
        <v>4</v>
      </c>
      <c r="N35" s="5" t="s">
        <v>79</v>
      </c>
      <c r="O35" s="5" t="s">
        <v>51</v>
      </c>
      <c r="P35" s="6"/>
      <c r="Q35" s="23"/>
      <c r="R35" s="4" t="s">
        <v>4</v>
      </c>
      <c r="S35" s="2">
        <v>4500</v>
      </c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45820</v>
      </c>
      <c r="B37" s="4" t="s">
        <v>3</v>
      </c>
      <c r="C37" s="5" t="s">
        <v>65</v>
      </c>
      <c r="D37" s="5" t="s">
        <v>51</v>
      </c>
      <c r="E37" s="6"/>
      <c r="F37" s="23">
        <v>9000</v>
      </c>
      <c r="G37" s="4" t="s">
        <v>3</v>
      </c>
      <c r="H37" s="2">
        <v>2500</v>
      </c>
      <c r="I37" s="23">
        <f t="shared" ref="I37" si="40">F37+H37+H38+H39</f>
        <v>21000</v>
      </c>
      <c r="J37" s="9"/>
      <c r="L37" s="29">
        <f t="shared" ref="L37" si="41">L34+1</f>
        <v>45836</v>
      </c>
      <c r="M37" s="4" t="s">
        <v>3</v>
      </c>
      <c r="N37" s="5" t="s">
        <v>88</v>
      </c>
      <c r="O37" s="5" t="s">
        <v>19</v>
      </c>
      <c r="P37" s="6"/>
      <c r="Q37" s="23">
        <v>9000</v>
      </c>
      <c r="R37" s="4" t="s">
        <v>3</v>
      </c>
      <c r="S37" s="2">
        <v>3500</v>
      </c>
      <c r="T37" s="23">
        <f t="shared" ref="T37" si="42">Q37+S37+S38+S39</f>
        <v>21500</v>
      </c>
      <c r="U37" s="9"/>
      <c r="X37">
        <f>N50</f>
        <v>5000</v>
      </c>
    </row>
    <row r="38" spans="1:24" x14ac:dyDescent="0.4">
      <c r="A38" s="29"/>
      <c r="B38" s="4" t="s">
        <v>4</v>
      </c>
      <c r="C38" s="5" t="s">
        <v>66</v>
      </c>
      <c r="D38" s="5" t="s">
        <v>51</v>
      </c>
      <c r="E38" s="6"/>
      <c r="F38" s="23"/>
      <c r="G38" s="4" t="s">
        <v>4</v>
      </c>
      <c r="H38" s="2">
        <v>3000</v>
      </c>
      <c r="I38" s="23"/>
      <c r="J38" s="9"/>
      <c r="L38" s="29"/>
      <c r="M38" s="4" t="s">
        <v>4</v>
      </c>
      <c r="N38" s="5" t="s">
        <v>89</v>
      </c>
      <c r="O38" s="5" t="s">
        <v>19</v>
      </c>
      <c r="P38" s="6"/>
      <c r="Q38" s="23"/>
      <c r="R38" s="4" t="s">
        <v>4</v>
      </c>
      <c r="S38" s="2">
        <v>4500</v>
      </c>
      <c r="T38" s="23"/>
      <c r="U38" s="9" t="s">
        <v>91</v>
      </c>
      <c r="X38">
        <f>O50</f>
        <v>198000</v>
      </c>
    </row>
    <row r="39" spans="1:24" x14ac:dyDescent="0.4">
      <c r="A39" s="29"/>
      <c r="B39" s="4" t="s">
        <v>5</v>
      </c>
      <c r="C39" s="5" t="s">
        <v>67</v>
      </c>
      <c r="D39" s="5" t="s">
        <v>51</v>
      </c>
      <c r="E39" s="6"/>
      <c r="F39" s="23"/>
      <c r="G39" s="4" t="s">
        <v>5</v>
      </c>
      <c r="H39" s="2">
        <v>6500</v>
      </c>
      <c r="I39" s="23"/>
      <c r="J39" s="9"/>
      <c r="L39" s="29"/>
      <c r="M39" s="4" t="s">
        <v>5</v>
      </c>
      <c r="N39" s="5" t="s">
        <v>90</v>
      </c>
      <c r="O39" s="5" t="s">
        <v>19</v>
      </c>
      <c r="P39" s="6"/>
      <c r="Q39" s="23"/>
      <c r="R39" s="4" t="s">
        <v>5</v>
      </c>
      <c r="S39" s="2">
        <v>4500</v>
      </c>
      <c r="T39" s="23"/>
      <c r="U39" s="9"/>
      <c r="X39">
        <f>S50</f>
        <v>249500</v>
      </c>
    </row>
    <row r="40" spans="1:24" x14ac:dyDescent="0.4">
      <c r="A40" s="29">
        <f t="shared" ref="A40" si="43">A37+1</f>
        <v>45821</v>
      </c>
      <c r="B40" s="4" t="s">
        <v>3</v>
      </c>
      <c r="C40" s="5" t="s">
        <v>68</v>
      </c>
      <c r="D40" s="5" t="s">
        <v>51</v>
      </c>
      <c r="E40" s="6"/>
      <c r="F40" s="23">
        <v>9000</v>
      </c>
      <c r="G40" s="4" t="s">
        <v>3</v>
      </c>
      <c r="H40" s="2">
        <v>7500</v>
      </c>
      <c r="I40" s="23">
        <f>F40+H40+H41+H42</f>
        <v>23000</v>
      </c>
      <c r="J40" s="9"/>
      <c r="L40" s="29">
        <f t="shared" ref="L40" si="44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5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69</v>
      </c>
      <c r="D41" s="5" t="s">
        <v>51</v>
      </c>
      <c r="E41" s="6"/>
      <c r="F41" s="23"/>
      <c r="G41" s="4" t="s">
        <v>4</v>
      </c>
      <c r="H41" s="2">
        <v>6500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6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7">F43+H43+H44+H45</f>
        <v>0</v>
      </c>
      <c r="J43" s="9"/>
      <c r="L43" s="29">
        <f t="shared" ref="L43" si="48">L40+1</f>
        <v>45838</v>
      </c>
      <c r="M43" s="4" t="s">
        <v>3</v>
      </c>
      <c r="N43" s="5" t="s">
        <v>92</v>
      </c>
      <c r="O43" s="5" t="s">
        <v>51</v>
      </c>
      <c r="P43" s="6"/>
      <c r="Q43" s="23">
        <v>9000</v>
      </c>
      <c r="R43" s="4" t="s">
        <v>3</v>
      </c>
      <c r="S43" s="2">
        <v>7500</v>
      </c>
      <c r="T43" s="23">
        <f t="shared" ref="T43" si="49">Q43+S43+S44+S45</f>
        <v>28000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93</v>
      </c>
      <c r="O44" s="5" t="s">
        <v>84</v>
      </c>
      <c r="P44" s="6"/>
      <c r="Q44" s="23"/>
      <c r="R44" s="4" t="s">
        <v>4</v>
      </c>
      <c r="S44" s="2">
        <v>11500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50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1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2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3">A46+1</f>
        <v>45824</v>
      </c>
      <c r="B49" s="4" t="s">
        <v>3</v>
      </c>
      <c r="C49" s="5" t="s">
        <v>70</v>
      </c>
      <c r="D49" s="5" t="s">
        <v>51</v>
      </c>
      <c r="E49" s="6"/>
      <c r="F49" s="23">
        <v>9000</v>
      </c>
      <c r="G49" s="4" t="s">
        <v>3</v>
      </c>
      <c r="H49" s="2">
        <v>6500</v>
      </c>
      <c r="I49" s="23">
        <f t="shared" ref="I49" si="54">F49+H49+H50+H51</f>
        <v>20000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71</v>
      </c>
      <c r="D50" s="5" t="s">
        <v>51</v>
      </c>
      <c r="E50" s="6"/>
      <c r="F50" s="23"/>
      <c r="G50" s="4" t="s">
        <v>4</v>
      </c>
      <c r="H50" s="2">
        <v>4500</v>
      </c>
      <c r="I50" s="23"/>
      <c r="J50" s="9"/>
      <c r="L50" s="27">
        <f>W7</f>
        <v>22</v>
      </c>
      <c r="M50" s="28" t="s">
        <v>12</v>
      </c>
      <c r="N50" s="23">
        <f>MAX((L50-21)*5000,0)</f>
        <v>5000</v>
      </c>
      <c r="O50" s="31">
        <f>SUM(F4:F51,Q4:Q48)</f>
        <v>198000</v>
      </c>
      <c r="P50" s="31"/>
      <c r="Q50" s="31"/>
      <c r="R50" s="31"/>
      <c r="S50" s="23">
        <f>SUM(H4:H51,S4:S48)</f>
        <v>249500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46</v>
      </c>
      <c r="I53" s="23"/>
      <c r="J53" s="41">
        <v>46054</v>
      </c>
      <c r="L53" s="56" t="s">
        <v>20</v>
      </c>
      <c r="M53" s="57"/>
      <c r="N53" s="57"/>
      <c r="O53" s="57"/>
      <c r="P53" s="19"/>
      <c r="Q53" s="31">
        <v>0</v>
      </c>
      <c r="R53" s="31"/>
      <c r="S53" s="23">
        <v>30000</v>
      </c>
      <c r="T53" s="23"/>
      <c r="U53" s="39">
        <f>SUM(X37:X42)</f>
        <v>492500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20.25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L25:L27"/>
    <mergeCell ref="Q25:Q27"/>
    <mergeCell ref="L52:O52"/>
    <mergeCell ref="H52:I52"/>
    <mergeCell ref="H53:I55"/>
    <mergeCell ref="J53:J55"/>
    <mergeCell ref="L53:O55"/>
    <mergeCell ref="Q53:R54"/>
    <mergeCell ref="S53:T54"/>
    <mergeCell ref="T34:T36"/>
    <mergeCell ref="T37:T39"/>
    <mergeCell ref="L46:L48"/>
    <mergeCell ref="Q40:Q42"/>
    <mergeCell ref="T40:T42"/>
    <mergeCell ref="T43:T45"/>
    <mergeCell ref="T46:T48"/>
    <mergeCell ref="R3:S3"/>
    <mergeCell ref="M3:N3"/>
    <mergeCell ref="L1:U2"/>
    <mergeCell ref="Q52:R52"/>
    <mergeCell ref="S52:T52"/>
    <mergeCell ref="N50:N51"/>
    <mergeCell ref="L28:L30"/>
    <mergeCell ref="L31:L33"/>
    <mergeCell ref="L34:L36"/>
    <mergeCell ref="L37:L39"/>
    <mergeCell ref="L40:L42"/>
    <mergeCell ref="L43:L45"/>
    <mergeCell ref="Q43:Q45"/>
    <mergeCell ref="Q46:Q48"/>
    <mergeCell ref="L4:L6"/>
    <mergeCell ref="L7:L9"/>
    <mergeCell ref="L10:L12"/>
    <mergeCell ref="L13:L15"/>
    <mergeCell ref="L16:L18"/>
    <mergeCell ref="L19:L21"/>
    <mergeCell ref="L22:L24"/>
    <mergeCell ref="Q10:Q12"/>
    <mergeCell ref="Q13:Q15"/>
    <mergeCell ref="Q16:Q18"/>
    <mergeCell ref="Q19:Q21"/>
    <mergeCell ref="Q22:Q24"/>
    <mergeCell ref="T22:T24"/>
    <mergeCell ref="T25:T27"/>
    <mergeCell ref="T28:T30"/>
    <mergeCell ref="T31:T33"/>
    <mergeCell ref="U50:U51"/>
    <mergeCell ref="L49:M49"/>
    <mergeCell ref="T4:T6"/>
    <mergeCell ref="T7:T9"/>
    <mergeCell ref="T10:T12"/>
    <mergeCell ref="T13:T15"/>
    <mergeCell ref="T16:T18"/>
    <mergeCell ref="T19:T21"/>
    <mergeCell ref="S49:T49"/>
    <mergeCell ref="L50:L51"/>
    <mergeCell ref="M50:M51"/>
    <mergeCell ref="S50:T51"/>
    <mergeCell ref="O49:R49"/>
    <mergeCell ref="O50:R51"/>
    <mergeCell ref="Q28:Q30"/>
    <mergeCell ref="Q31:Q33"/>
    <mergeCell ref="Q34:Q36"/>
    <mergeCell ref="Q37:Q39"/>
    <mergeCell ref="Q4:Q6"/>
    <mergeCell ref="Q7:Q9"/>
    <mergeCell ref="A49:A51"/>
    <mergeCell ref="F49:F51"/>
    <mergeCell ref="I49:I51"/>
    <mergeCell ref="A46:A48"/>
    <mergeCell ref="F46:F48"/>
    <mergeCell ref="I46:I48"/>
    <mergeCell ref="A43:A45"/>
    <mergeCell ref="F43:F45"/>
    <mergeCell ref="I43:I45"/>
    <mergeCell ref="A40:A42"/>
    <mergeCell ref="F40:F42"/>
    <mergeCell ref="I40:I42"/>
    <mergeCell ref="A37:A39"/>
    <mergeCell ref="F37:F39"/>
    <mergeCell ref="I37:I39"/>
    <mergeCell ref="A34:A36"/>
    <mergeCell ref="F34:F36"/>
    <mergeCell ref="I34:I36"/>
    <mergeCell ref="A31:A33"/>
    <mergeCell ref="F31:F33"/>
    <mergeCell ref="I31:I33"/>
    <mergeCell ref="A28:A30"/>
    <mergeCell ref="F28:F30"/>
    <mergeCell ref="I28:I30"/>
    <mergeCell ref="A25:A27"/>
    <mergeCell ref="F25:F27"/>
    <mergeCell ref="I25:I27"/>
    <mergeCell ref="A22:A24"/>
    <mergeCell ref="F22:F24"/>
    <mergeCell ref="I22:I24"/>
    <mergeCell ref="A19:A21"/>
    <mergeCell ref="F19:F21"/>
    <mergeCell ref="I19:I21"/>
    <mergeCell ref="A16:A18"/>
    <mergeCell ref="F16:F18"/>
    <mergeCell ref="I16:I18"/>
    <mergeCell ref="A4:A6"/>
    <mergeCell ref="F4:F6"/>
    <mergeCell ref="I4:I6"/>
    <mergeCell ref="A1:J2"/>
    <mergeCell ref="B3:C3"/>
    <mergeCell ref="G3:H3"/>
    <mergeCell ref="A13:A15"/>
    <mergeCell ref="F13:F15"/>
    <mergeCell ref="I13:I15"/>
    <mergeCell ref="A10:A12"/>
    <mergeCell ref="F10:F12"/>
    <mergeCell ref="I10:I12"/>
    <mergeCell ref="A7:A9"/>
    <mergeCell ref="F7:F9"/>
    <mergeCell ref="I7:I9"/>
  </mergeCells>
  <phoneticPr fontId="1"/>
  <dataValidations count="1">
    <dataValidation type="list" allowBlank="1" showInputMessage="1" showErrorMessage="1" sqref="D4:D51 O4:O48" xr:uid="{1C118299-531C-4AF3-8A3A-0A1F226304DF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DB5D-4746-4911-AAB1-AABC3DA97CE0}">
  <sheetPr>
    <pageSetUpPr fitToPage="1"/>
  </sheetPr>
  <dimension ref="A1:X56"/>
  <sheetViews>
    <sheetView topLeftCell="A12" zoomScaleNormal="100" workbookViewId="0">
      <selection activeCell="B43" sqref="B43:I45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/>
      <c r="O4" s="5"/>
      <c r="P4" s="6"/>
      <c r="Q4" s="23"/>
      <c r="R4" s="4" t="s">
        <v>3</v>
      </c>
      <c r="S4" s="2"/>
      <c r="T4" s="23">
        <f t="shared" ref="T4" si="0">Q4+S4+S5+S6</f>
        <v>9000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97</v>
      </c>
      <c r="O5" s="5"/>
      <c r="P5" s="6"/>
      <c r="Q5" s="23"/>
      <c r="R5" s="4" t="s">
        <v>4</v>
      </c>
      <c r="S5" s="2">
        <v>9000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/>
      <c r="D7" s="5"/>
      <c r="E7" s="6"/>
      <c r="F7" s="23">
        <v>9000</v>
      </c>
      <c r="G7" s="4" t="s">
        <v>3</v>
      </c>
      <c r="H7" s="2"/>
      <c r="I7" s="23">
        <f t="shared" ref="I7" si="1">F7+H7+H8+H9</f>
        <v>20500</v>
      </c>
      <c r="J7" s="9"/>
      <c r="L7" s="29">
        <f>L4+1</f>
        <v>45826</v>
      </c>
      <c r="M7" s="4" t="s">
        <v>3</v>
      </c>
      <c r="N7" s="5"/>
      <c r="O7" s="5"/>
      <c r="P7" s="6"/>
      <c r="Q7" s="23"/>
      <c r="R7" s="4" t="s">
        <v>3</v>
      </c>
      <c r="S7" s="2"/>
      <c r="T7" s="23">
        <f t="shared" ref="T7" si="2">Q7+S7+S8+S9</f>
        <v>9000</v>
      </c>
      <c r="U7" s="9"/>
      <c r="W7">
        <f>COUNT(F4:F51,Q4:Q48)</f>
        <v>18</v>
      </c>
    </row>
    <row r="8" spans="1:23" x14ac:dyDescent="0.4">
      <c r="A8" s="29"/>
      <c r="B8" s="4" t="s">
        <v>4</v>
      </c>
      <c r="C8" s="5" t="s">
        <v>94</v>
      </c>
      <c r="D8" s="5" t="s">
        <v>51</v>
      </c>
      <c r="E8" s="6"/>
      <c r="F8" s="23"/>
      <c r="G8" s="4" t="s">
        <v>4</v>
      </c>
      <c r="H8" s="2">
        <v>11500</v>
      </c>
      <c r="I8" s="23"/>
      <c r="J8" s="9"/>
      <c r="L8" s="29"/>
      <c r="M8" s="4" t="s">
        <v>4</v>
      </c>
      <c r="N8" s="5" t="s">
        <v>97</v>
      </c>
      <c r="O8" s="5"/>
      <c r="P8" s="6"/>
      <c r="Q8" s="23"/>
      <c r="R8" s="4" t="s">
        <v>4</v>
      </c>
      <c r="S8" s="2">
        <v>9000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3">A7+1</f>
        <v>45811</v>
      </c>
      <c r="B10" s="4" t="s">
        <v>3</v>
      </c>
      <c r="C10" s="5"/>
      <c r="D10" s="5"/>
      <c r="E10" s="6"/>
      <c r="F10" s="23">
        <v>9000</v>
      </c>
      <c r="G10" s="4" t="s">
        <v>3</v>
      </c>
      <c r="H10" s="2"/>
      <c r="I10" s="23">
        <f t="shared" ref="I10" si="4">F10+H10+H11+H12</f>
        <v>20500</v>
      </c>
      <c r="J10" s="9"/>
      <c r="L10" s="29">
        <f t="shared" ref="L10" si="5">L7+1</f>
        <v>45827</v>
      </c>
      <c r="M10" s="4" t="s">
        <v>3</v>
      </c>
      <c r="N10" s="5"/>
      <c r="O10" s="5"/>
      <c r="P10" s="6"/>
      <c r="Q10" s="23"/>
      <c r="R10" s="4" t="s">
        <v>3</v>
      </c>
      <c r="S10" s="2"/>
      <c r="T10" s="23">
        <f t="shared" ref="T10" si="6">Q10+S10+S11+S12</f>
        <v>9000</v>
      </c>
      <c r="U10" s="9"/>
    </row>
    <row r="11" spans="1:23" x14ac:dyDescent="0.4">
      <c r="A11" s="29"/>
      <c r="B11" s="4" t="s">
        <v>4</v>
      </c>
      <c r="C11" s="5" t="s">
        <v>94</v>
      </c>
      <c r="D11" s="5" t="s">
        <v>51</v>
      </c>
      <c r="E11" s="6"/>
      <c r="F11" s="23"/>
      <c r="G11" s="4" t="s">
        <v>4</v>
      </c>
      <c r="H11" s="2">
        <v>11500</v>
      </c>
      <c r="I11" s="23"/>
      <c r="J11" s="9"/>
      <c r="L11" s="29"/>
      <c r="M11" s="4" t="s">
        <v>4</v>
      </c>
      <c r="N11" s="5" t="s">
        <v>97</v>
      </c>
      <c r="O11" s="5"/>
      <c r="P11" s="6"/>
      <c r="Q11" s="23"/>
      <c r="R11" s="4" t="s">
        <v>4</v>
      </c>
      <c r="S11" s="2">
        <v>9000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7">A10+1</f>
        <v>45812</v>
      </c>
      <c r="B13" s="4" t="s">
        <v>3</v>
      </c>
      <c r="C13" s="5"/>
      <c r="D13" s="5"/>
      <c r="E13" s="6"/>
      <c r="F13" s="23">
        <v>9000</v>
      </c>
      <c r="G13" s="4" t="s">
        <v>3</v>
      </c>
      <c r="H13" s="2"/>
      <c r="I13" s="23">
        <f t="shared" ref="I13" si="8">F13+H13+H14+H15</f>
        <v>20500</v>
      </c>
      <c r="J13" s="9"/>
      <c r="L13" s="29">
        <f t="shared" ref="L13" si="9">L10+1</f>
        <v>45828</v>
      </c>
      <c r="M13" s="4" t="s">
        <v>3</v>
      </c>
      <c r="N13" s="5"/>
      <c r="O13" s="5"/>
      <c r="P13" s="6"/>
      <c r="Q13" s="23"/>
      <c r="R13" s="4" t="s">
        <v>3</v>
      </c>
      <c r="S13" s="2"/>
      <c r="T13" s="23">
        <f t="shared" ref="T13" si="10">Q13+S13+S14+S15</f>
        <v>9000</v>
      </c>
      <c r="U13" s="9"/>
    </row>
    <row r="14" spans="1:23" x14ac:dyDescent="0.4">
      <c r="A14" s="29"/>
      <c r="B14" s="4" t="s">
        <v>4</v>
      </c>
      <c r="C14" s="5" t="s">
        <v>94</v>
      </c>
      <c r="D14" s="5" t="s">
        <v>51</v>
      </c>
      <c r="E14" s="6"/>
      <c r="F14" s="23"/>
      <c r="G14" s="4" t="s">
        <v>4</v>
      </c>
      <c r="H14" s="2">
        <v>11500</v>
      </c>
      <c r="I14" s="23"/>
      <c r="J14" s="9"/>
      <c r="L14" s="29"/>
      <c r="M14" s="4" t="s">
        <v>4</v>
      </c>
      <c r="N14" s="5" t="s">
        <v>97</v>
      </c>
      <c r="O14" s="5"/>
      <c r="P14" s="6"/>
      <c r="Q14" s="23"/>
      <c r="R14" s="4" t="s">
        <v>4</v>
      </c>
      <c r="S14" s="2">
        <v>9000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1">A13+1</f>
        <v>45813</v>
      </c>
      <c r="B16" s="4" t="s">
        <v>3</v>
      </c>
      <c r="C16" s="5"/>
      <c r="D16" s="5"/>
      <c r="E16" s="6"/>
      <c r="F16" s="23">
        <v>9000</v>
      </c>
      <c r="G16" s="4" t="s">
        <v>3</v>
      </c>
      <c r="H16" s="2"/>
      <c r="I16" s="23">
        <f t="shared" ref="I16" si="12">F16+H16+H17+H18</f>
        <v>20500</v>
      </c>
      <c r="J16" s="9"/>
      <c r="L16" s="29">
        <f t="shared" ref="L16" si="13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4">Q16+S16+S17+S18</f>
        <v>0</v>
      </c>
      <c r="U16" s="9"/>
    </row>
    <row r="17" spans="1:21" x14ac:dyDescent="0.4">
      <c r="A17" s="29"/>
      <c r="B17" s="4" t="s">
        <v>4</v>
      </c>
      <c r="C17" s="5" t="s">
        <v>94</v>
      </c>
      <c r="D17" s="5" t="s">
        <v>51</v>
      </c>
      <c r="E17" s="6"/>
      <c r="F17" s="23"/>
      <c r="G17" s="4" t="s">
        <v>4</v>
      </c>
      <c r="H17" s="2">
        <v>11500</v>
      </c>
      <c r="I17" s="23"/>
      <c r="J17" s="9"/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45814</v>
      </c>
      <c r="B19" s="4" t="s">
        <v>3</v>
      </c>
      <c r="C19" s="5"/>
      <c r="D19" s="5"/>
      <c r="E19" s="6"/>
      <c r="F19" s="23">
        <v>9000</v>
      </c>
      <c r="G19" s="4" t="s">
        <v>3</v>
      </c>
      <c r="H19" s="2"/>
      <c r="I19" s="23">
        <f t="shared" ref="I19" si="16">F19+H19+H20+H21</f>
        <v>20500</v>
      </c>
      <c r="J19" s="9"/>
      <c r="L19" s="29">
        <f t="shared" ref="L19" si="17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8">Q19+S19+S20+S21</f>
        <v>0</v>
      </c>
      <c r="U19" s="9"/>
    </row>
    <row r="20" spans="1:21" x14ac:dyDescent="0.4">
      <c r="A20" s="29"/>
      <c r="B20" s="4" t="s">
        <v>4</v>
      </c>
      <c r="C20" s="5" t="s">
        <v>94</v>
      </c>
      <c r="D20" s="5" t="s">
        <v>51</v>
      </c>
      <c r="E20" s="6"/>
      <c r="F20" s="23"/>
      <c r="G20" s="4" t="s">
        <v>4</v>
      </c>
      <c r="H20" s="2">
        <v>11500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45815</v>
      </c>
      <c r="B22" s="4" t="s">
        <v>3</v>
      </c>
      <c r="C22" s="5" t="s">
        <v>96</v>
      </c>
      <c r="D22" s="5" t="s">
        <v>19</v>
      </c>
      <c r="E22" s="6"/>
      <c r="F22" s="23">
        <v>9000</v>
      </c>
      <c r="G22" s="4" t="s">
        <v>3</v>
      </c>
      <c r="H22" s="2">
        <v>3000</v>
      </c>
      <c r="I22" s="23">
        <f t="shared" ref="I22" si="20">F22+H22+H23+H24</f>
        <v>21000</v>
      </c>
      <c r="J22" s="9"/>
      <c r="L22" s="29">
        <f t="shared" ref="L22" si="21">L19+1</f>
        <v>45831</v>
      </c>
      <c r="M22" s="4" t="s">
        <v>3</v>
      </c>
      <c r="N22" s="5"/>
      <c r="O22" s="5"/>
      <c r="P22" s="6"/>
      <c r="Q22" s="23">
        <v>9000</v>
      </c>
      <c r="R22" s="4" t="s">
        <v>3</v>
      </c>
      <c r="S22" s="2"/>
      <c r="T22" s="23">
        <f t="shared" ref="T22" si="22">Q22+S22+S23+S24</f>
        <v>20500</v>
      </c>
      <c r="U22" s="9"/>
    </row>
    <row r="23" spans="1:21" x14ac:dyDescent="0.4">
      <c r="A23" s="29"/>
      <c r="B23" s="4" t="s">
        <v>4</v>
      </c>
      <c r="C23" s="5" t="s">
        <v>95</v>
      </c>
      <c r="D23" s="5" t="s">
        <v>51</v>
      </c>
      <c r="E23" s="6"/>
      <c r="F23" s="23"/>
      <c r="G23" s="4" t="s">
        <v>4</v>
      </c>
      <c r="H23" s="2">
        <v>9000</v>
      </c>
      <c r="I23" s="23"/>
      <c r="J23" s="9"/>
      <c r="L23" s="29"/>
      <c r="M23" s="4" t="s">
        <v>4</v>
      </c>
      <c r="N23" s="5" t="s">
        <v>94</v>
      </c>
      <c r="O23" s="5" t="s">
        <v>51</v>
      </c>
      <c r="P23" s="6"/>
      <c r="Q23" s="23"/>
      <c r="R23" s="4" t="s">
        <v>4</v>
      </c>
      <c r="S23" s="2">
        <v>11500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3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4">F25+H25+H26+H27</f>
        <v>0</v>
      </c>
      <c r="J25" s="9"/>
      <c r="L25" s="29">
        <f t="shared" ref="L25" si="25">L22+1</f>
        <v>45832</v>
      </c>
      <c r="M25" s="4" t="s">
        <v>3</v>
      </c>
      <c r="N25" s="5"/>
      <c r="O25" s="5"/>
      <c r="P25" s="6"/>
      <c r="Q25" s="23">
        <v>9000</v>
      </c>
      <c r="R25" s="4" t="s">
        <v>3</v>
      </c>
      <c r="S25" s="2"/>
      <c r="T25" s="23">
        <f t="shared" ref="T25" si="26">Q25+S25+S26+S27</f>
        <v>20500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94</v>
      </c>
      <c r="O26" s="5" t="s">
        <v>51</v>
      </c>
      <c r="P26" s="6"/>
      <c r="Q26" s="23"/>
      <c r="R26" s="4" t="s">
        <v>4</v>
      </c>
      <c r="S26" s="2">
        <v>11500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7">A25+1</f>
        <v>45817</v>
      </c>
      <c r="B28" s="4" t="s">
        <v>3</v>
      </c>
      <c r="C28" s="5"/>
      <c r="D28" s="5"/>
      <c r="E28" s="6"/>
      <c r="F28" s="23">
        <v>9000</v>
      </c>
      <c r="G28" s="4" t="s">
        <v>3</v>
      </c>
      <c r="H28" s="2"/>
      <c r="I28" s="23">
        <f t="shared" ref="I28" si="28">F28+H28+H29+H30</f>
        <v>20500</v>
      </c>
      <c r="J28" s="9"/>
      <c r="L28" s="29">
        <f t="shared" ref="L28" si="29">L25+1</f>
        <v>45833</v>
      </c>
      <c r="M28" s="4" t="s">
        <v>3</v>
      </c>
      <c r="N28" s="5"/>
      <c r="O28" s="5"/>
      <c r="P28" s="6"/>
      <c r="Q28" s="23">
        <v>9000</v>
      </c>
      <c r="R28" s="4" t="s">
        <v>3</v>
      </c>
      <c r="S28" s="2"/>
      <c r="T28" s="23">
        <f t="shared" ref="T28" si="30">Q28+S28+S29+S30</f>
        <v>20500</v>
      </c>
      <c r="U28" s="9"/>
    </row>
    <row r="29" spans="1:21" x14ac:dyDescent="0.4">
      <c r="A29" s="29"/>
      <c r="B29" s="4" t="s">
        <v>4</v>
      </c>
      <c r="C29" s="5" t="s">
        <v>94</v>
      </c>
      <c r="D29" s="5" t="s">
        <v>51</v>
      </c>
      <c r="E29" s="6"/>
      <c r="F29" s="23"/>
      <c r="G29" s="4" t="s">
        <v>4</v>
      </c>
      <c r="H29" s="2">
        <v>11500</v>
      </c>
      <c r="I29" s="23"/>
      <c r="J29" s="9"/>
      <c r="L29" s="29"/>
      <c r="M29" s="4" t="s">
        <v>4</v>
      </c>
      <c r="N29" s="5" t="s">
        <v>94</v>
      </c>
      <c r="O29" s="5" t="s">
        <v>51</v>
      </c>
      <c r="P29" s="6"/>
      <c r="Q29" s="23"/>
      <c r="R29" s="4" t="s">
        <v>4</v>
      </c>
      <c r="S29" s="2">
        <v>11500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45818</v>
      </c>
      <c r="B31" s="4" t="s">
        <v>3</v>
      </c>
      <c r="C31" s="5"/>
      <c r="D31" s="5"/>
      <c r="E31" s="6"/>
      <c r="F31" s="23">
        <v>9000</v>
      </c>
      <c r="G31" s="4" t="s">
        <v>3</v>
      </c>
      <c r="H31" s="2"/>
      <c r="I31" s="23">
        <f t="shared" ref="I31" si="32">F31+H31+H32+H33</f>
        <v>20500</v>
      </c>
      <c r="J31" s="9"/>
      <c r="L31" s="29">
        <f t="shared" ref="L31" si="33">L28+1</f>
        <v>45834</v>
      </c>
      <c r="M31" s="4" t="s">
        <v>3</v>
      </c>
      <c r="N31" s="5"/>
      <c r="O31" s="5"/>
      <c r="P31" s="6"/>
      <c r="Q31" s="23">
        <v>9000</v>
      </c>
      <c r="R31" s="4" t="s">
        <v>3</v>
      </c>
      <c r="S31" s="2"/>
      <c r="T31" s="23">
        <f t="shared" ref="T31" si="34">Q31+S31+S32+S33</f>
        <v>20500</v>
      </c>
      <c r="U31" s="9"/>
    </row>
    <row r="32" spans="1:21" x14ac:dyDescent="0.4">
      <c r="A32" s="29"/>
      <c r="B32" s="4" t="s">
        <v>4</v>
      </c>
      <c r="C32" s="5" t="s">
        <v>94</v>
      </c>
      <c r="D32" s="5" t="s">
        <v>51</v>
      </c>
      <c r="E32" s="6"/>
      <c r="F32" s="23"/>
      <c r="G32" s="4" t="s">
        <v>4</v>
      </c>
      <c r="H32" s="2">
        <v>11500</v>
      </c>
      <c r="I32" s="23"/>
      <c r="J32" s="9"/>
      <c r="L32" s="29"/>
      <c r="M32" s="4" t="s">
        <v>4</v>
      </c>
      <c r="N32" s="5" t="s">
        <v>94</v>
      </c>
      <c r="O32" s="5" t="s">
        <v>51</v>
      </c>
      <c r="P32" s="6"/>
      <c r="Q32" s="23"/>
      <c r="R32" s="4" t="s">
        <v>4</v>
      </c>
      <c r="S32" s="2">
        <v>11500</v>
      </c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5">A31+1</f>
        <v>45819</v>
      </c>
      <c r="B34" s="4" t="s">
        <v>3</v>
      </c>
      <c r="C34" s="5"/>
      <c r="D34" s="5"/>
      <c r="E34" s="6"/>
      <c r="F34" s="23">
        <v>9000</v>
      </c>
      <c r="G34" s="4" t="s">
        <v>3</v>
      </c>
      <c r="H34" s="2"/>
      <c r="I34" s="23">
        <f t="shared" ref="I34" si="36">F34+H34+H35+H36</f>
        <v>20500</v>
      </c>
      <c r="J34" s="9"/>
      <c r="L34" s="29">
        <f t="shared" ref="L34" si="37">L31+1</f>
        <v>45835</v>
      </c>
      <c r="M34" s="4" t="s">
        <v>3</v>
      </c>
      <c r="N34" s="5"/>
      <c r="O34" s="5"/>
      <c r="P34" s="6"/>
      <c r="Q34" s="23">
        <v>9000</v>
      </c>
      <c r="R34" s="4" t="s">
        <v>3</v>
      </c>
      <c r="S34" s="2"/>
      <c r="T34" s="23">
        <f t="shared" ref="T34" si="38">Q34+S34+S35+S36</f>
        <v>20500</v>
      </c>
      <c r="U34" s="9"/>
    </row>
    <row r="35" spans="1:24" x14ac:dyDescent="0.4">
      <c r="A35" s="29"/>
      <c r="B35" s="4" t="s">
        <v>4</v>
      </c>
      <c r="C35" s="5" t="s">
        <v>94</v>
      </c>
      <c r="D35" s="5" t="s">
        <v>51</v>
      </c>
      <c r="E35" s="6"/>
      <c r="F35" s="23"/>
      <c r="G35" s="4" t="s">
        <v>4</v>
      </c>
      <c r="H35" s="2">
        <v>11500</v>
      </c>
      <c r="I35" s="23"/>
      <c r="J35" s="9"/>
      <c r="L35" s="29"/>
      <c r="M35" s="4" t="s">
        <v>4</v>
      </c>
      <c r="N35" s="5" t="s">
        <v>94</v>
      </c>
      <c r="O35" s="5" t="s">
        <v>51</v>
      </c>
      <c r="P35" s="6"/>
      <c r="Q35" s="23"/>
      <c r="R35" s="4" t="s">
        <v>4</v>
      </c>
      <c r="S35" s="2">
        <v>11500</v>
      </c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45820</v>
      </c>
      <c r="B37" s="4" t="s">
        <v>3</v>
      </c>
      <c r="C37" s="5"/>
      <c r="D37" s="5"/>
      <c r="E37" s="6"/>
      <c r="F37" s="23">
        <v>9000</v>
      </c>
      <c r="G37" s="4" t="s">
        <v>3</v>
      </c>
      <c r="H37" s="2"/>
      <c r="I37" s="23">
        <f t="shared" ref="I37" si="40">F37+H37+H38+H39</f>
        <v>20500</v>
      </c>
      <c r="J37" s="9"/>
      <c r="L37" s="29">
        <f t="shared" ref="L37" si="41">L34+1</f>
        <v>45836</v>
      </c>
      <c r="M37" s="4" t="s">
        <v>3</v>
      </c>
      <c r="N37" s="5"/>
      <c r="O37" s="5"/>
      <c r="P37" s="6"/>
      <c r="Q37" s="62"/>
      <c r="R37" s="4" t="s">
        <v>3</v>
      </c>
      <c r="S37" s="2"/>
      <c r="T37" s="62">
        <f t="shared" ref="T37" si="42">Q37+S37+S38+S39</f>
        <v>0</v>
      </c>
      <c r="U37" s="9"/>
      <c r="X37">
        <f>N50</f>
        <v>0</v>
      </c>
    </row>
    <row r="38" spans="1:24" x14ac:dyDescent="0.4">
      <c r="A38" s="29"/>
      <c r="B38" s="4" t="s">
        <v>4</v>
      </c>
      <c r="C38" s="5" t="s">
        <v>94</v>
      </c>
      <c r="D38" s="5" t="s">
        <v>51</v>
      </c>
      <c r="E38" s="6"/>
      <c r="F38" s="23"/>
      <c r="G38" s="4" t="s">
        <v>4</v>
      </c>
      <c r="H38" s="2">
        <v>11500</v>
      </c>
      <c r="I38" s="23"/>
      <c r="J38" s="9"/>
      <c r="L38" s="29"/>
      <c r="M38" s="4" t="s">
        <v>4</v>
      </c>
      <c r="N38" s="5" t="s">
        <v>48</v>
      </c>
      <c r="O38" s="5"/>
      <c r="P38" s="6"/>
      <c r="Q38" s="63"/>
      <c r="R38" s="4" t="s">
        <v>4</v>
      </c>
      <c r="S38" s="2"/>
      <c r="T38" s="63"/>
      <c r="U38" s="9"/>
      <c r="X38">
        <f>O50</f>
        <v>162000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6"/>
      <c r="R39" s="4" t="s">
        <v>5</v>
      </c>
      <c r="S39" s="2"/>
      <c r="T39" s="26"/>
      <c r="U39" s="9"/>
      <c r="X39">
        <f>S50</f>
        <v>262000</v>
      </c>
    </row>
    <row r="40" spans="1:24" x14ac:dyDescent="0.4">
      <c r="A40" s="29">
        <f t="shared" ref="A40" si="43">A37+1</f>
        <v>45821</v>
      </c>
      <c r="B40" s="4" t="s">
        <v>3</v>
      </c>
      <c r="C40" s="5"/>
      <c r="D40" s="5"/>
      <c r="E40" s="6"/>
      <c r="F40" s="23">
        <v>9000</v>
      </c>
      <c r="G40" s="4" t="s">
        <v>3</v>
      </c>
      <c r="H40" s="2"/>
      <c r="I40" s="23">
        <f t="shared" ref="I40" si="44">F40+H40+H41+H42</f>
        <v>20500</v>
      </c>
      <c r="J40" s="9"/>
      <c r="L40" s="29">
        <f t="shared" ref="L40" si="45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6">Q40+S40+S41+S42</f>
        <v>0</v>
      </c>
      <c r="U40" s="9"/>
      <c r="X40">
        <f>U50</f>
        <v>0</v>
      </c>
    </row>
    <row r="41" spans="1:24" x14ac:dyDescent="0.4">
      <c r="A41" s="29"/>
      <c r="B41" s="4" t="s">
        <v>4</v>
      </c>
      <c r="C41" s="5" t="s">
        <v>94</v>
      </c>
      <c r="D41" s="5" t="s">
        <v>51</v>
      </c>
      <c r="E41" s="6"/>
      <c r="F41" s="23"/>
      <c r="G41" s="4" t="s">
        <v>4</v>
      </c>
      <c r="H41" s="2">
        <v>11500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15000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7">A40+1</f>
        <v>45822</v>
      </c>
      <c r="B43" s="4" t="s">
        <v>3</v>
      </c>
      <c r="C43" s="5" t="s">
        <v>95</v>
      </c>
      <c r="D43" s="5" t="s">
        <v>51</v>
      </c>
      <c r="E43" s="6"/>
      <c r="F43" s="23">
        <v>9000</v>
      </c>
      <c r="G43" s="4" t="s">
        <v>3</v>
      </c>
      <c r="H43" s="2">
        <v>9000</v>
      </c>
      <c r="I43" s="23">
        <f t="shared" ref="I43" si="48">F43+H43+H44+H45</f>
        <v>18000</v>
      </c>
      <c r="J43" s="9"/>
      <c r="L43" s="29">
        <f t="shared" ref="L43" si="49">L40+1</f>
        <v>45838</v>
      </c>
      <c r="M43" s="4" t="s">
        <v>3</v>
      </c>
      <c r="N43" s="5" t="s">
        <v>94</v>
      </c>
      <c r="O43" s="5" t="s">
        <v>51</v>
      </c>
      <c r="P43" s="6"/>
      <c r="Q43" s="23">
        <v>9000</v>
      </c>
      <c r="R43" s="4" t="s">
        <v>3</v>
      </c>
      <c r="S43" s="2">
        <v>11500</v>
      </c>
      <c r="T43" s="23">
        <f t="shared" ref="T43" si="50">Q43+S43+S44+S45</f>
        <v>32500</v>
      </c>
      <c r="U43" s="9"/>
    </row>
    <row r="44" spans="1:24" x14ac:dyDescent="0.4">
      <c r="A44" s="29"/>
      <c r="B44" s="4" t="s">
        <v>4</v>
      </c>
      <c r="C44" s="5"/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98</v>
      </c>
      <c r="O44" s="5" t="s">
        <v>51</v>
      </c>
      <c r="P44" s="6"/>
      <c r="Q44" s="23"/>
      <c r="R44" s="4" t="s">
        <v>4</v>
      </c>
      <c r="S44" s="2">
        <v>12000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51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2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3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4">A46+1</f>
        <v>45824</v>
      </c>
      <c r="B49" s="4" t="s">
        <v>3</v>
      </c>
      <c r="C49" s="5"/>
      <c r="D49" s="5"/>
      <c r="E49" s="6"/>
      <c r="F49" s="23"/>
      <c r="G49" s="4" t="s">
        <v>3</v>
      </c>
      <c r="H49" s="2"/>
      <c r="I49" s="23">
        <f t="shared" ref="I49" si="55">F49+H49+H50+H51</f>
        <v>9000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97</v>
      </c>
      <c r="D50" s="5"/>
      <c r="E50" s="6"/>
      <c r="F50" s="23"/>
      <c r="G50" s="4" t="s">
        <v>4</v>
      </c>
      <c r="H50" s="2">
        <v>9000</v>
      </c>
      <c r="I50" s="23"/>
      <c r="J50" s="9"/>
      <c r="L50" s="27">
        <f>W7</f>
        <v>18</v>
      </c>
      <c r="M50" s="28" t="s">
        <v>12</v>
      </c>
      <c r="N50" s="23">
        <f>MAX((L50-20)*5000,0)</f>
        <v>0</v>
      </c>
      <c r="O50" s="31">
        <f>SUM(F4:F51,Q4:Q48)</f>
        <v>162000</v>
      </c>
      <c r="P50" s="31"/>
      <c r="Q50" s="31"/>
      <c r="R50" s="31"/>
      <c r="S50" s="23">
        <f>SUM(H4:H51,S4:S48)</f>
        <v>262000</v>
      </c>
      <c r="T50" s="23"/>
      <c r="U50" s="22">
        <v>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46</v>
      </c>
      <c r="I53" s="23"/>
      <c r="J53" s="41">
        <v>46054</v>
      </c>
      <c r="L53" s="47" t="s">
        <v>38</v>
      </c>
      <c r="M53" s="48"/>
      <c r="N53" s="48"/>
      <c r="O53" s="48"/>
      <c r="P53" s="19"/>
      <c r="Q53" s="31">
        <v>15000</v>
      </c>
      <c r="R53" s="31"/>
      <c r="S53" s="23">
        <v>30000</v>
      </c>
      <c r="T53" s="23"/>
      <c r="U53" s="39">
        <f>SUM(X37:X42)</f>
        <v>469000</v>
      </c>
    </row>
    <row r="54" spans="1:21" ht="19.5" customHeight="1" thickBot="1" x14ac:dyDescent="0.45">
      <c r="H54" s="27"/>
      <c r="I54" s="23"/>
      <c r="J54" s="22"/>
      <c r="L54" s="49"/>
      <c r="M54" s="50"/>
      <c r="N54" s="50"/>
      <c r="O54" s="50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51"/>
      <c r="M55" s="52"/>
      <c r="N55" s="52"/>
      <c r="O55" s="52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" xr:uid="{CCCCA2CF-6C3F-4090-B9C7-7259B7742B36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658A-587E-47E0-83EC-1E35DA0E3BC7}">
  <sheetPr>
    <pageSetUpPr fitToPage="1"/>
  </sheetPr>
  <dimension ref="A1:X56"/>
  <sheetViews>
    <sheetView topLeftCell="A15" workbookViewId="0">
      <selection activeCell="T22" sqref="T22:T24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/>
      <c r="O4" s="5"/>
      <c r="P4" s="6"/>
      <c r="Q4" s="23">
        <v>9000</v>
      </c>
      <c r="R4" s="4" t="s">
        <v>3</v>
      </c>
      <c r="S4" s="2"/>
      <c r="T4" s="23">
        <f t="shared" ref="T4" si="0">Q4+S4+S5+S6</f>
        <v>18000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95</v>
      </c>
      <c r="O5" s="5" t="s">
        <v>19</v>
      </c>
      <c r="P5" s="6"/>
      <c r="Q5" s="23"/>
      <c r="R5" s="4" t="s">
        <v>4</v>
      </c>
      <c r="S5" s="2">
        <v>9000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61</v>
      </c>
      <c r="D7" s="5" t="s">
        <v>51</v>
      </c>
      <c r="E7" s="6"/>
      <c r="F7" s="23">
        <v>9000</v>
      </c>
      <c r="G7" s="4" t="s">
        <v>3</v>
      </c>
      <c r="H7" s="2">
        <v>6500</v>
      </c>
      <c r="I7" s="23">
        <f>F7+H7+H8+H9</f>
        <v>22000</v>
      </c>
      <c r="J7" s="9"/>
      <c r="L7" s="29">
        <f>L4+1</f>
        <v>45826</v>
      </c>
      <c r="M7" s="4" t="s">
        <v>3</v>
      </c>
      <c r="N7" s="5" t="s">
        <v>96</v>
      </c>
      <c r="O7" s="5" t="s">
        <v>19</v>
      </c>
      <c r="P7" s="6"/>
      <c r="Q7" s="23">
        <v>9000</v>
      </c>
      <c r="R7" s="4" t="s">
        <v>3</v>
      </c>
      <c r="S7" s="2">
        <v>3000</v>
      </c>
      <c r="T7" s="23">
        <f t="shared" ref="T7" si="1">Q7+S7+S8+S9</f>
        <v>21000</v>
      </c>
      <c r="U7" s="9"/>
      <c r="W7">
        <f>COUNT(F4:F51,Q4:Q48)</f>
        <v>23</v>
      </c>
    </row>
    <row r="8" spans="1:23" x14ac:dyDescent="0.4">
      <c r="A8" s="29"/>
      <c r="B8" s="4" t="s">
        <v>4</v>
      </c>
      <c r="C8" s="5" t="s">
        <v>59</v>
      </c>
      <c r="D8" s="5" t="s">
        <v>51</v>
      </c>
      <c r="E8" s="6"/>
      <c r="F8" s="23"/>
      <c r="G8" s="4" t="s">
        <v>4</v>
      </c>
      <c r="H8" s="2">
        <v>6500</v>
      </c>
      <c r="I8" s="23"/>
      <c r="J8" s="9"/>
      <c r="L8" s="29"/>
      <c r="M8" s="4" t="s">
        <v>4</v>
      </c>
      <c r="N8" s="5" t="s">
        <v>95</v>
      </c>
      <c r="O8" s="5" t="s">
        <v>19</v>
      </c>
      <c r="P8" s="6"/>
      <c r="Q8" s="23"/>
      <c r="R8" s="4" t="s">
        <v>4</v>
      </c>
      <c r="S8" s="2">
        <v>9000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2">A7+1</f>
        <v>45811</v>
      </c>
      <c r="B10" s="4" t="s">
        <v>3</v>
      </c>
      <c r="C10" s="5" t="s">
        <v>99</v>
      </c>
      <c r="D10" s="5" t="s">
        <v>51</v>
      </c>
      <c r="E10" s="6"/>
      <c r="F10" s="23">
        <v>9000</v>
      </c>
      <c r="G10" s="4" t="s">
        <v>3</v>
      </c>
      <c r="H10" s="2">
        <v>6500</v>
      </c>
      <c r="I10" s="23">
        <f>F10+H10+H11+H12</f>
        <v>22000</v>
      </c>
      <c r="J10" s="9"/>
      <c r="L10" s="29">
        <f t="shared" ref="L10" si="3">L7+1</f>
        <v>45827</v>
      </c>
      <c r="M10" s="4" t="s">
        <v>3</v>
      </c>
      <c r="N10" s="5"/>
      <c r="O10" s="5"/>
      <c r="P10" s="6"/>
      <c r="Q10" s="23">
        <v>9000</v>
      </c>
      <c r="R10" s="4" t="s">
        <v>3</v>
      </c>
      <c r="S10" s="2"/>
      <c r="T10" s="23">
        <f t="shared" ref="T10" si="4">Q10+S10+S11+S12</f>
        <v>18000</v>
      </c>
      <c r="U10" s="9"/>
    </row>
    <row r="11" spans="1:23" x14ac:dyDescent="0.4">
      <c r="A11" s="29"/>
      <c r="B11" s="4" t="s">
        <v>4</v>
      </c>
      <c r="C11" s="5" t="s">
        <v>59</v>
      </c>
      <c r="D11" s="5" t="s">
        <v>51</v>
      </c>
      <c r="E11" s="6"/>
      <c r="F11" s="23"/>
      <c r="G11" s="4" t="s">
        <v>4</v>
      </c>
      <c r="H11" s="2">
        <v>6500</v>
      </c>
      <c r="I11" s="23"/>
      <c r="J11" s="9"/>
      <c r="L11" s="29"/>
      <c r="M11" s="4" t="s">
        <v>4</v>
      </c>
      <c r="N11" s="5" t="s">
        <v>95</v>
      </c>
      <c r="O11" s="5" t="s">
        <v>19</v>
      </c>
      <c r="P11" s="6"/>
      <c r="Q11" s="23"/>
      <c r="R11" s="4" t="s">
        <v>4</v>
      </c>
      <c r="S11" s="2">
        <v>9000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5">A10+1</f>
        <v>45812</v>
      </c>
      <c r="B13" s="4" t="s">
        <v>3</v>
      </c>
      <c r="C13" s="5" t="s">
        <v>100</v>
      </c>
      <c r="D13" s="5" t="s">
        <v>51</v>
      </c>
      <c r="E13" s="6"/>
      <c r="F13" s="23">
        <v>9000</v>
      </c>
      <c r="G13" s="4" t="s">
        <v>3</v>
      </c>
      <c r="H13" s="2">
        <v>6500</v>
      </c>
      <c r="I13" s="23">
        <f t="shared" ref="I13" si="6">F13+H13+H14+H15</f>
        <v>23000</v>
      </c>
      <c r="J13" s="9"/>
      <c r="L13" s="29">
        <f t="shared" ref="L13" si="7">L10+1</f>
        <v>45828</v>
      </c>
      <c r="M13" s="4" t="s">
        <v>3</v>
      </c>
      <c r="N13" s="5" t="s">
        <v>114</v>
      </c>
      <c r="O13" s="5" t="s">
        <v>51</v>
      </c>
      <c r="P13" s="6"/>
      <c r="Q13" s="23">
        <v>9000</v>
      </c>
      <c r="R13" s="4" t="s">
        <v>3</v>
      </c>
      <c r="S13" s="2">
        <v>2500</v>
      </c>
      <c r="T13" s="23">
        <f t="shared" ref="T13" si="8">Q13+S13+S14+S15</f>
        <v>20500</v>
      </c>
      <c r="U13" s="9"/>
    </row>
    <row r="14" spans="1:23" x14ac:dyDescent="0.4">
      <c r="A14" s="29"/>
      <c r="B14" s="4" t="s">
        <v>4</v>
      </c>
      <c r="C14" s="5" t="s">
        <v>101</v>
      </c>
      <c r="D14" s="5" t="s">
        <v>51</v>
      </c>
      <c r="E14" s="6"/>
      <c r="F14" s="23"/>
      <c r="G14" s="4" t="s">
        <v>4</v>
      </c>
      <c r="H14" s="2">
        <v>7500</v>
      </c>
      <c r="I14" s="23"/>
      <c r="J14" s="9"/>
      <c r="L14" s="29"/>
      <c r="M14" s="4" t="s">
        <v>4</v>
      </c>
      <c r="N14" s="5" t="s">
        <v>95</v>
      </c>
      <c r="O14" s="5" t="s">
        <v>19</v>
      </c>
      <c r="P14" s="6"/>
      <c r="Q14" s="23"/>
      <c r="R14" s="4" t="s">
        <v>4</v>
      </c>
      <c r="S14" s="2">
        <v>9000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9">A13+1</f>
        <v>45813</v>
      </c>
      <c r="B16" s="4" t="s">
        <v>3</v>
      </c>
      <c r="C16" s="5" t="s">
        <v>100</v>
      </c>
      <c r="D16" s="5" t="s">
        <v>51</v>
      </c>
      <c r="E16" s="6"/>
      <c r="F16" s="23">
        <v>9000</v>
      </c>
      <c r="G16" s="4" t="s">
        <v>3</v>
      </c>
      <c r="H16" s="2">
        <v>6500</v>
      </c>
      <c r="I16" s="23">
        <f t="shared" ref="I16" si="10">F16+H16+H17+H18</f>
        <v>20000</v>
      </c>
      <c r="J16" s="9"/>
      <c r="L16" s="29">
        <f t="shared" ref="L16" si="11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2">Q16+S16+S17+S18</f>
        <v>0</v>
      </c>
      <c r="U16" s="9"/>
    </row>
    <row r="17" spans="1:21" x14ac:dyDescent="0.4">
      <c r="A17" s="29"/>
      <c r="B17" s="4" t="s">
        <v>4</v>
      </c>
      <c r="C17" s="5" t="s">
        <v>102</v>
      </c>
      <c r="D17" s="5" t="s">
        <v>51</v>
      </c>
      <c r="E17" s="6"/>
      <c r="F17" s="23"/>
      <c r="G17" s="4" t="s">
        <v>4</v>
      </c>
      <c r="H17" s="2">
        <v>4500</v>
      </c>
      <c r="I17" s="23"/>
      <c r="J17" s="9" t="s">
        <v>103</v>
      </c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3">A16+1</f>
        <v>45814</v>
      </c>
      <c r="B19" s="4" t="s">
        <v>3</v>
      </c>
      <c r="C19" s="5" t="s">
        <v>104</v>
      </c>
      <c r="D19" s="5" t="s">
        <v>51</v>
      </c>
      <c r="E19" s="6"/>
      <c r="F19" s="23">
        <v>9000</v>
      </c>
      <c r="G19" s="4" t="s">
        <v>3</v>
      </c>
      <c r="H19" s="2">
        <v>3000</v>
      </c>
      <c r="I19" s="23">
        <f t="shared" ref="I19" si="14">F19+H19+H20+H21</f>
        <v>18500</v>
      </c>
      <c r="J19" s="9"/>
      <c r="L19" s="29">
        <f t="shared" ref="L19" si="15">L16+1</f>
        <v>45830</v>
      </c>
      <c r="M19" s="4" t="s">
        <v>3</v>
      </c>
      <c r="N19" s="5" t="s">
        <v>115</v>
      </c>
      <c r="O19" s="5" t="s">
        <v>19</v>
      </c>
      <c r="P19" s="6"/>
      <c r="Q19" s="64">
        <v>14000</v>
      </c>
      <c r="R19" s="4" t="s">
        <v>3</v>
      </c>
      <c r="S19" s="2">
        <v>3000</v>
      </c>
      <c r="T19" s="23">
        <f t="shared" ref="T19" si="16">Q19+S19+S20+S21</f>
        <v>26000</v>
      </c>
      <c r="U19" s="9"/>
    </row>
    <row r="20" spans="1:21" x14ac:dyDescent="0.4">
      <c r="A20" s="29"/>
      <c r="B20" s="4" t="s">
        <v>4</v>
      </c>
      <c r="C20" s="5" t="s">
        <v>105</v>
      </c>
      <c r="D20" s="5" t="s">
        <v>51</v>
      </c>
      <c r="E20" s="6"/>
      <c r="F20" s="23"/>
      <c r="G20" s="4" t="s">
        <v>4</v>
      </c>
      <c r="H20" s="2">
        <v>6500</v>
      </c>
      <c r="I20" s="23"/>
      <c r="J20" s="9"/>
      <c r="L20" s="29"/>
      <c r="M20" s="4" t="s">
        <v>4</v>
      </c>
      <c r="N20" s="5" t="s">
        <v>95</v>
      </c>
      <c r="O20" s="5" t="s">
        <v>19</v>
      </c>
      <c r="P20" s="6"/>
      <c r="Q20" s="64"/>
      <c r="R20" s="4" t="s">
        <v>4</v>
      </c>
      <c r="S20" s="2">
        <v>9000</v>
      </c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64"/>
      <c r="R21" s="4" t="s">
        <v>5</v>
      </c>
      <c r="S21" s="2"/>
      <c r="T21" s="23"/>
      <c r="U21" s="9"/>
    </row>
    <row r="22" spans="1:21" x14ac:dyDescent="0.4">
      <c r="A22" s="29">
        <f t="shared" ref="A22" si="17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18">F22+H22+H23+H24</f>
        <v>0</v>
      </c>
      <c r="J22" s="9"/>
      <c r="L22" s="29">
        <f t="shared" ref="L22" si="19">L19+1</f>
        <v>45831</v>
      </c>
      <c r="M22" s="4" t="s">
        <v>3</v>
      </c>
      <c r="N22" s="5" t="s">
        <v>116</v>
      </c>
      <c r="O22" s="5" t="s">
        <v>51</v>
      </c>
      <c r="P22" s="6"/>
      <c r="Q22" s="23">
        <v>9000</v>
      </c>
      <c r="R22" s="4" t="s">
        <v>3</v>
      </c>
      <c r="S22" s="2">
        <v>6500</v>
      </c>
      <c r="T22" s="23">
        <f t="shared" ref="T22" si="20">Q22+S22+S23+S24</f>
        <v>22000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117</v>
      </c>
      <c r="O23" s="5" t="s">
        <v>51</v>
      </c>
      <c r="P23" s="6"/>
      <c r="Q23" s="23"/>
      <c r="R23" s="4" t="s">
        <v>4</v>
      </c>
      <c r="S23" s="2">
        <v>6500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1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2">F25+H25+H26+H27</f>
        <v>0</v>
      </c>
      <c r="J25" s="9"/>
      <c r="L25" s="29">
        <f t="shared" ref="L25" si="23">L22+1</f>
        <v>45832</v>
      </c>
      <c r="M25" s="4" t="s">
        <v>3</v>
      </c>
      <c r="N25" s="5" t="s">
        <v>118</v>
      </c>
      <c r="O25" s="5" t="s">
        <v>19</v>
      </c>
      <c r="P25" s="6"/>
      <c r="Q25" s="62">
        <v>9000</v>
      </c>
      <c r="R25" s="4" t="s">
        <v>3</v>
      </c>
      <c r="S25" s="2">
        <v>3500</v>
      </c>
      <c r="T25" s="23">
        <f t="shared" ref="T25" si="24">Q25+S25+S26+S27</f>
        <v>23500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89</v>
      </c>
      <c r="O26" s="5" t="s">
        <v>19</v>
      </c>
      <c r="P26" s="6"/>
      <c r="Q26" s="63"/>
      <c r="R26" s="4" t="s">
        <v>4</v>
      </c>
      <c r="S26" s="2">
        <v>4500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 t="s">
        <v>119</v>
      </c>
      <c r="O27" s="5" t="s">
        <v>51</v>
      </c>
      <c r="P27" s="6"/>
      <c r="Q27" s="26"/>
      <c r="R27" s="4" t="s">
        <v>5</v>
      </c>
      <c r="S27" s="2">
        <v>6500</v>
      </c>
      <c r="T27" s="23"/>
      <c r="U27" s="9"/>
    </row>
    <row r="28" spans="1:21" x14ac:dyDescent="0.4">
      <c r="A28" s="29">
        <f t="shared" ref="A28" si="25">A25+1</f>
        <v>45817</v>
      </c>
      <c r="B28" s="4" t="s">
        <v>3</v>
      </c>
      <c r="C28" s="5" t="s">
        <v>106</v>
      </c>
      <c r="D28" s="5" t="s">
        <v>51</v>
      </c>
      <c r="E28" s="6"/>
      <c r="F28" s="23">
        <v>9000</v>
      </c>
      <c r="G28" s="4" t="s">
        <v>3</v>
      </c>
      <c r="H28" s="2">
        <v>6500</v>
      </c>
      <c r="I28" s="23">
        <f t="shared" ref="I28" si="26">F28+H28+H29+H30</f>
        <v>20000</v>
      </c>
      <c r="J28" s="9"/>
      <c r="L28" s="29">
        <f t="shared" ref="L28" si="27">L25+1</f>
        <v>45833</v>
      </c>
      <c r="M28" s="4" t="s">
        <v>3</v>
      </c>
      <c r="N28" s="5" t="s">
        <v>117</v>
      </c>
      <c r="O28" s="5" t="s">
        <v>51</v>
      </c>
      <c r="P28" s="6"/>
      <c r="Q28" s="62">
        <v>9000</v>
      </c>
      <c r="R28" s="4" t="s">
        <v>3</v>
      </c>
      <c r="S28" s="2">
        <v>6500</v>
      </c>
      <c r="T28" s="23">
        <f t="shared" ref="T28" si="28">Q28+S28+S29+S30</f>
        <v>15500</v>
      </c>
      <c r="U28" s="9"/>
    </row>
    <row r="29" spans="1:21" x14ac:dyDescent="0.4">
      <c r="A29" s="29"/>
      <c r="B29" s="4" t="s">
        <v>4</v>
      </c>
      <c r="C29" s="5" t="s">
        <v>107</v>
      </c>
      <c r="D29" s="5" t="s">
        <v>51</v>
      </c>
      <c r="E29" s="6"/>
      <c r="F29" s="23"/>
      <c r="G29" s="4" t="s">
        <v>4</v>
      </c>
      <c r="H29" s="2">
        <v>4500</v>
      </c>
      <c r="I29" s="23"/>
      <c r="J29" s="9"/>
      <c r="L29" s="29"/>
      <c r="M29" s="4" t="s">
        <v>4</v>
      </c>
      <c r="N29" s="5"/>
      <c r="O29" s="5"/>
      <c r="P29" s="6"/>
      <c r="Q29" s="63"/>
      <c r="R29" s="4" t="s">
        <v>4</v>
      </c>
      <c r="S29" s="2"/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6"/>
      <c r="R30" s="4" t="s">
        <v>5</v>
      </c>
      <c r="S30" s="2"/>
      <c r="T30" s="23"/>
      <c r="U30" s="9"/>
    </row>
    <row r="31" spans="1:21" x14ac:dyDescent="0.4">
      <c r="A31" s="29">
        <f t="shared" ref="A31" si="29">A28+1</f>
        <v>45818</v>
      </c>
      <c r="B31" s="4" t="s">
        <v>3</v>
      </c>
      <c r="C31" s="5" t="s">
        <v>306</v>
      </c>
      <c r="D31" s="5" t="s">
        <v>51</v>
      </c>
      <c r="E31" s="6"/>
      <c r="F31" s="23">
        <v>9000</v>
      </c>
      <c r="G31" s="4" t="s">
        <v>3</v>
      </c>
      <c r="H31" s="2">
        <v>4500</v>
      </c>
      <c r="I31" s="23">
        <f t="shared" ref="I31" si="30">F31+H31+H32+H33</f>
        <v>20000</v>
      </c>
      <c r="J31" s="9" t="s">
        <v>307</v>
      </c>
      <c r="L31" s="29">
        <f t="shared" ref="L31" si="31">L28+1</f>
        <v>45834</v>
      </c>
      <c r="M31" s="4" t="s">
        <v>3</v>
      </c>
      <c r="N31" s="5" t="s">
        <v>118</v>
      </c>
      <c r="O31" s="5" t="s">
        <v>19</v>
      </c>
      <c r="P31" s="6"/>
      <c r="Q31" s="62">
        <v>9000</v>
      </c>
      <c r="R31" s="4" t="s">
        <v>3</v>
      </c>
      <c r="S31" s="2">
        <v>3500</v>
      </c>
      <c r="T31" s="23">
        <f t="shared" ref="T31" si="32">Q31+S31+S32+S33</f>
        <v>21500</v>
      </c>
      <c r="U31" s="9"/>
    </row>
    <row r="32" spans="1:21" x14ac:dyDescent="0.4">
      <c r="A32" s="29"/>
      <c r="B32" s="4" t="s">
        <v>4</v>
      </c>
      <c r="C32" s="5" t="s">
        <v>108</v>
      </c>
      <c r="D32" s="5" t="s">
        <v>51</v>
      </c>
      <c r="E32" s="6"/>
      <c r="F32" s="23"/>
      <c r="G32" s="4" t="s">
        <v>4</v>
      </c>
      <c r="H32" s="2">
        <v>6500</v>
      </c>
      <c r="I32" s="23"/>
      <c r="J32" s="9"/>
      <c r="L32" s="29"/>
      <c r="M32" s="4" t="s">
        <v>4</v>
      </c>
      <c r="N32" s="5" t="s">
        <v>89</v>
      </c>
      <c r="O32" s="5" t="s">
        <v>19</v>
      </c>
      <c r="P32" s="6"/>
      <c r="Q32" s="63"/>
      <c r="R32" s="4" t="s">
        <v>4</v>
      </c>
      <c r="S32" s="2">
        <v>4500</v>
      </c>
      <c r="T32" s="23"/>
      <c r="U32" s="9" t="s">
        <v>103</v>
      </c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 t="s">
        <v>118</v>
      </c>
      <c r="O33" s="5" t="s">
        <v>51</v>
      </c>
      <c r="P33" s="6"/>
      <c r="Q33" s="26"/>
      <c r="R33" s="4" t="s">
        <v>5</v>
      </c>
      <c r="S33" s="2">
        <v>4500</v>
      </c>
      <c r="T33" s="23"/>
      <c r="U33" s="9"/>
    </row>
    <row r="34" spans="1:24" x14ac:dyDescent="0.4">
      <c r="A34" s="29">
        <f t="shared" ref="A34" si="33">A31+1</f>
        <v>45819</v>
      </c>
      <c r="B34" s="4" t="s">
        <v>3</v>
      </c>
      <c r="C34" s="5" t="s">
        <v>109</v>
      </c>
      <c r="D34" s="5" t="s">
        <v>51</v>
      </c>
      <c r="E34" s="6"/>
      <c r="F34" s="23">
        <v>9000</v>
      </c>
      <c r="G34" s="4" t="s">
        <v>3</v>
      </c>
      <c r="H34" s="2">
        <v>6500</v>
      </c>
      <c r="I34" s="23">
        <f t="shared" ref="I34" si="34">F34+H34+H35+H36</f>
        <v>24500</v>
      </c>
      <c r="J34" s="9"/>
      <c r="L34" s="29">
        <f t="shared" ref="L34" si="35">L31+1</f>
        <v>45835</v>
      </c>
      <c r="M34" s="4" t="s">
        <v>3</v>
      </c>
      <c r="N34" s="5" t="s">
        <v>120</v>
      </c>
      <c r="O34" s="5" t="s">
        <v>51</v>
      </c>
      <c r="P34" s="6"/>
      <c r="Q34" s="62">
        <v>9000</v>
      </c>
      <c r="R34" s="4" t="s">
        <v>3</v>
      </c>
      <c r="S34" s="2">
        <v>2500</v>
      </c>
      <c r="T34" s="23">
        <f t="shared" ref="T34" si="36">Q34+S34+S35+S36</f>
        <v>18000</v>
      </c>
      <c r="U34" s="9"/>
    </row>
    <row r="35" spans="1:24" x14ac:dyDescent="0.4">
      <c r="A35" s="29"/>
      <c r="B35" s="4" t="s">
        <v>4</v>
      </c>
      <c r="C35" s="5" t="s">
        <v>79</v>
      </c>
      <c r="D35" s="5" t="s">
        <v>19</v>
      </c>
      <c r="E35" s="6"/>
      <c r="F35" s="23"/>
      <c r="G35" s="4" t="s">
        <v>4</v>
      </c>
      <c r="H35" s="2">
        <v>4500</v>
      </c>
      <c r="I35" s="23"/>
      <c r="J35" s="9"/>
      <c r="L35" s="29"/>
      <c r="M35" s="4" t="s">
        <v>4</v>
      </c>
      <c r="N35" s="5" t="s">
        <v>59</v>
      </c>
      <c r="O35" s="5" t="s">
        <v>51</v>
      </c>
      <c r="P35" s="6"/>
      <c r="Q35" s="63"/>
      <c r="R35" s="4" t="s">
        <v>4</v>
      </c>
      <c r="S35" s="2">
        <v>6500</v>
      </c>
      <c r="T35" s="23"/>
      <c r="U35" s="9"/>
    </row>
    <row r="36" spans="1:24" x14ac:dyDescent="0.4">
      <c r="A36" s="29"/>
      <c r="B36" s="4" t="s">
        <v>5</v>
      </c>
      <c r="C36" s="5" t="s">
        <v>110</v>
      </c>
      <c r="D36" s="5" t="s">
        <v>19</v>
      </c>
      <c r="E36" s="6"/>
      <c r="F36" s="23"/>
      <c r="G36" s="4" t="s">
        <v>5</v>
      </c>
      <c r="H36" s="2">
        <v>4500</v>
      </c>
      <c r="I36" s="23"/>
      <c r="J36" s="9"/>
      <c r="L36" s="29"/>
      <c r="M36" s="4" t="s">
        <v>5</v>
      </c>
      <c r="N36" s="5"/>
      <c r="O36" s="5"/>
      <c r="P36" s="6"/>
      <c r="Q36" s="26"/>
      <c r="R36" s="4" t="s">
        <v>5</v>
      </c>
      <c r="S36" s="2"/>
      <c r="T36" s="23"/>
      <c r="U36" s="9"/>
    </row>
    <row r="37" spans="1:24" x14ac:dyDescent="0.4">
      <c r="A37" s="29">
        <f t="shared" ref="A37" si="37">A34+1</f>
        <v>45820</v>
      </c>
      <c r="B37" s="4" t="s">
        <v>3</v>
      </c>
      <c r="C37" s="5" t="s">
        <v>111</v>
      </c>
      <c r="D37" s="5" t="s">
        <v>51</v>
      </c>
      <c r="E37" s="6"/>
      <c r="F37" s="23">
        <v>9000</v>
      </c>
      <c r="G37" s="4" t="s">
        <v>3</v>
      </c>
      <c r="H37" s="2">
        <v>4000</v>
      </c>
      <c r="I37" s="23">
        <f t="shared" ref="I37" si="38">F37+H37+H38+H39</f>
        <v>19500</v>
      </c>
      <c r="J37" s="9"/>
      <c r="L37" s="29">
        <f t="shared" ref="L37" si="39">L34+1</f>
        <v>45836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40">Q37+S37+S38+S39</f>
        <v>0</v>
      </c>
      <c r="U37" s="9"/>
      <c r="X37">
        <f>N50</f>
        <v>10000</v>
      </c>
    </row>
    <row r="38" spans="1:24" x14ac:dyDescent="0.4">
      <c r="A38" s="29"/>
      <c r="B38" s="4" t="s">
        <v>4</v>
      </c>
      <c r="C38" s="5" t="s">
        <v>62</v>
      </c>
      <c r="D38" s="5" t="s">
        <v>51</v>
      </c>
      <c r="E38" s="6"/>
      <c r="F38" s="23"/>
      <c r="G38" s="4" t="s">
        <v>4</v>
      </c>
      <c r="H38" s="2">
        <v>6500</v>
      </c>
      <c r="I38" s="23"/>
      <c r="J38" s="9"/>
      <c r="L38" s="29"/>
      <c r="M38" s="4" t="s">
        <v>4</v>
      </c>
      <c r="N38" s="5" t="s">
        <v>48</v>
      </c>
      <c r="O38" s="5"/>
      <c r="P38" s="6"/>
      <c r="Q38" s="23"/>
      <c r="R38" s="4" t="s">
        <v>4</v>
      </c>
      <c r="S38" s="2"/>
      <c r="T38" s="23"/>
      <c r="U38" s="9"/>
      <c r="X38">
        <f>O50</f>
        <v>217000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256000</v>
      </c>
    </row>
    <row r="40" spans="1:24" x14ac:dyDescent="0.4">
      <c r="A40" s="29">
        <f t="shared" ref="A40" si="41">A37+1</f>
        <v>45821</v>
      </c>
      <c r="B40" s="4" t="s">
        <v>3</v>
      </c>
      <c r="C40" s="5" t="s">
        <v>112</v>
      </c>
      <c r="D40" s="5" t="s">
        <v>51</v>
      </c>
      <c r="E40" s="6"/>
      <c r="F40" s="23">
        <v>9000</v>
      </c>
      <c r="G40" s="4" t="s">
        <v>3</v>
      </c>
      <c r="H40" s="2">
        <v>6500</v>
      </c>
      <c r="I40" s="23">
        <f>F40+H40+H41+H42</f>
        <v>20000</v>
      </c>
      <c r="J40" s="9"/>
      <c r="L40" s="29">
        <f t="shared" ref="L40" si="42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3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113</v>
      </c>
      <c r="D41" s="5" t="s">
        <v>19</v>
      </c>
      <c r="E41" s="6"/>
      <c r="F41" s="23"/>
      <c r="G41" s="4" t="s">
        <v>4</v>
      </c>
      <c r="H41" s="2">
        <v>4500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10000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4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5">F43+H43+H44+H45</f>
        <v>0</v>
      </c>
      <c r="J43" s="9"/>
      <c r="L43" s="29">
        <f t="shared" ref="L43" si="46">L40+1</f>
        <v>45838</v>
      </c>
      <c r="M43" s="4" t="s">
        <v>3</v>
      </c>
      <c r="N43" s="5" t="s">
        <v>121</v>
      </c>
      <c r="O43" s="5" t="s">
        <v>51</v>
      </c>
      <c r="P43" s="6"/>
      <c r="Q43" s="62">
        <v>9000</v>
      </c>
      <c r="R43" s="4" t="s">
        <v>3</v>
      </c>
      <c r="S43" s="2">
        <v>3000</v>
      </c>
      <c r="T43" s="23">
        <f t="shared" ref="T43" si="47">Q43+S43+S44+S45</f>
        <v>18500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59</v>
      </c>
      <c r="O44" s="5" t="s">
        <v>51</v>
      </c>
      <c r="P44" s="6"/>
      <c r="Q44" s="63"/>
      <c r="R44" s="4" t="s">
        <v>4</v>
      </c>
      <c r="S44" s="2">
        <v>6500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6"/>
      <c r="R45" s="4" t="s">
        <v>5</v>
      </c>
      <c r="S45" s="2"/>
      <c r="T45" s="23"/>
      <c r="U45" s="9"/>
    </row>
    <row r="46" spans="1:24" x14ac:dyDescent="0.4">
      <c r="A46" s="29">
        <f t="shared" ref="A46" si="48">A43+1</f>
        <v>45823</v>
      </c>
      <c r="B46" s="4" t="s">
        <v>3</v>
      </c>
      <c r="C46" s="5"/>
      <c r="D46" s="5"/>
      <c r="E46" s="6"/>
      <c r="F46" s="64">
        <v>14000</v>
      </c>
      <c r="G46" s="4" t="s">
        <v>3</v>
      </c>
      <c r="H46" s="2"/>
      <c r="I46" s="23">
        <f t="shared" ref="I46" si="49">F46+H46+H47+H48</f>
        <v>23000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0">Q46+S46+S47+S48</f>
        <v>0</v>
      </c>
      <c r="U46" s="9"/>
    </row>
    <row r="47" spans="1:24" x14ac:dyDescent="0.4">
      <c r="A47" s="29"/>
      <c r="B47" s="4" t="s">
        <v>4</v>
      </c>
      <c r="C47" s="5" t="s">
        <v>95</v>
      </c>
      <c r="D47" s="5" t="s">
        <v>19</v>
      </c>
      <c r="E47" s="6"/>
      <c r="F47" s="64"/>
      <c r="G47" s="4" t="s">
        <v>4</v>
      </c>
      <c r="H47" s="2">
        <v>9000</v>
      </c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64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1">A46+1</f>
        <v>45824</v>
      </c>
      <c r="B49" s="4" t="s">
        <v>3</v>
      </c>
      <c r="C49" s="5"/>
      <c r="D49" s="5"/>
      <c r="E49" s="6"/>
      <c r="F49" s="23">
        <v>9000</v>
      </c>
      <c r="G49" s="4" t="s">
        <v>3</v>
      </c>
      <c r="H49" s="2"/>
      <c r="I49" s="23">
        <f t="shared" ref="I49" si="52">F49+H49+H50+H51</f>
        <v>18000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95</v>
      </c>
      <c r="D50" s="5" t="s">
        <v>19</v>
      </c>
      <c r="E50" s="6"/>
      <c r="F50" s="23"/>
      <c r="G50" s="4" t="s">
        <v>4</v>
      </c>
      <c r="H50" s="2">
        <v>9000</v>
      </c>
      <c r="I50" s="23"/>
      <c r="J50" s="9"/>
      <c r="L50" s="27">
        <f>W7</f>
        <v>23</v>
      </c>
      <c r="M50" s="28" t="s">
        <v>12</v>
      </c>
      <c r="N50" s="23">
        <f>MAX((L50-21)*5000,0)</f>
        <v>10000</v>
      </c>
      <c r="O50" s="31">
        <f>SUM(F4:F51,Q4:Q48)</f>
        <v>217000</v>
      </c>
      <c r="P50" s="31"/>
      <c r="Q50" s="31"/>
      <c r="R50" s="31"/>
      <c r="S50" s="23">
        <f>SUM(H4:H51,S4:S48)</f>
        <v>256000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46</v>
      </c>
      <c r="I53" s="23"/>
      <c r="J53" s="41">
        <v>46054</v>
      </c>
      <c r="L53" s="47" t="s">
        <v>37</v>
      </c>
      <c r="M53" s="48"/>
      <c r="N53" s="48"/>
      <c r="O53" s="48"/>
      <c r="P53" s="19"/>
      <c r="Q53" s="31">
        <v>10000</v>
      </c>
      <c r="R53" s="31"/>
      <c r="S53" s="23">
        <v>30000</v>
      </c>
      <c r="T53" s="23"/>
      <c r="U53" s="39">
        <f>SUM(X37:X42)</f>
        <v>533000</v>
      </c>
    </row>
    <row r="54" spans="1:21" ht="19.5" customHeight="1" thickBot="1" x14ac:dyDescent="0.45">
      <c r="H54" s="27"/>
      <c r="I54" s="23"/>
      <c r="J54" s="22"/>
      <c r="L54" s="49"/>
      <c r="M54" s="50"/>
      <c r="N54" s="50"/>
      <c r="O54" s="50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51"/>
      <c r="M55" s="52"/>
      <c r="N55" s="52"/>
      <c r="O55" s="52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O4:O48 D4:D51" xr:uid="{730A149D-770C-4452-B190-95683953DDC0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32C5-EBCB-40D2-BDDA-71FBE1F0E9F6}">
  <sheetPr>
    <pageSetUpPr fitToPage="1"/>
  </sheetPr>
  <dimension ref="A1:X56"/>
  <sheetViews>
    <sheetView zoomScaleNormal="100" workbookViewId="0">
      <selection activeCell="C23" sqref="C23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 t="s">
        <v>136</v>
      </c>
      <c r="O4" s="5" t="s">
        <v>51</v>
      </c>
      <c r="P4" s="6"/>
      <c r="Q4" s="65">
        <v>9000</v>
      </c>
      <c r="R4" s="4" t="s">
        <v>3</v>
      </c>
      <c r="S4" s="2">
        <v>3000</v>
      </c>
      <c r="T4" s="23">
        <f t="shared" ref="T4" si="0">Q4+S4+S5+S6</f>
        <v>21500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137</v>
      </c>
      <c r="O5" s="5" t="s">
        <v>51</v>
      </c>
      <c r="P5" s="6"/>
      <c r="Q5" s="65"/>
      <c r="R5" s="4" t="s">
        <v>4</v>
      </c>
      <c r="S5" s="2">
        <v>9500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65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122</v>
      </c>
      <c r="D7" s="5" t="s">
        <v>51</v>
      </c>
      <c r="E7" s="6"/>
      <c r="F7" s="23">
        <v>9000</v>
      </c>
      <c r="G7" s="4" t="s">
        <v>3</v>
      </c>
      <c r="H7" s="2">
        <v>3500</v>
      </c>
      <c r="I7" s="23">
        <f>F7+H7+H8+H9</f>
        <v>22000</v>
      </c>
      <c r="J7" s="9" t="s">
        <v>124</v>
      </c>
      <c r="L7" s="29">
        <f>L4+1</f>
        <v>45826</v>
      </c>
      <c r="M7" s="4" t="s">
        <v>3</v>
      </c>
      <c r="N7" s="5" t="s">
        <v>136</v>
      </c>
      <c r="O7" s="5" t="s">
        <v>51</v>
      </c>
      <c r="P7" s="6"/>
      <c r="Q7" s="65">
        <v>9000</v>
      </c>
      <c r="R7" s="4" t="s">
        <v>3</v>
      </c>
      <c r="S7" s="2">
        <v>3000</v>
      </c>
      <c r="T7" s="23">
        <f t="shared" ref="T7" si="1">Q7+S7+S8+S9</f>
        <v>21500</v>
      </c>
      <c r="U7" s="9"/>
      <c r="W7">
        <f>COUNT(F4:F51,Q4:Q48)</f>
        <v>24</v>
      </c>
    </row>
    <row r="8" spans="1:23" x14ac:dyDescent="0.4">
      <c r="A8" s="29"/>
      <c r="B8" s="4" t="s">
        <v>4</v>
      </c>
      <c r="C8" s="5" t="s">
        <v>123</v>
      </c>
      <c r="D8" s="5" t="s">
        <v>51</v>
      </c>
      <c r="E8" s="6"/>
      <c r="F8" s="23"/>
      <c r="G8" s="4" t="s">
        <v>4</v>
      </c>
      <c r="H8" s="2">
        <v>5000</v>
      </c>
      <c r="I8" s="23"/>
      <c r="J8" s="9" t="s">
        <v>124</v>
      </c>
      <c r="L8" s="29"/>
      <c r="M8" s="4" t="s">
        <v>4</v>
      </c>
      <c r="N8" s="5" t="s">
        <v>137</v>
      </c>
      <c r="O8" s="5" t="s">
        <v>51</v>
      </c>
      <c r="P8" s="6"/>
      <c r="Q8" s="65"/>
      <c r="R8" s="4" t="s">
        <v>4</v>
      </c>
      <c r="S8" s="2">
        <v>9500</v>
      </c>
      <c r="T8" s="23"/>
      <c r="U8" s="9"/>
    </row>
    <row r="9" spans="1:23" x14ac:dyDescent="0.4">
      <c r="A9" s="29"/>
      <c r="B9" s="4" t="s">
        <v>5</v>
      </c>
      <c r="C9" s="5" t="s">
        <v>50</v>
      </c>
      <c r="D9" s="5" t="s">
        <v>51</v>
      </c>
      <c r="E9" s="6"/>
      <c r="F9" s="23"/>
      <c r="G9" s="4" t="s">
        <v>5</v>
      </c>
      <c r="H9" s="2">
        <v>4500</v>
      </c>
      <c r="I9" s="23"/>
      <c r="J9" s="9" t="s">
        <v>125</v>
      </c>
      <c r="L9" s="29"/>
      <c r="M9" s="4" t="s">
        <v>5</v>
      </c>
      <c r="N9" s="5"/>
      <c r="O9" s="5"/>
      <c r="P9" s="6"/>
      <c r="Q9" s="65"/>
      <c r="R9" s="4" t="s">
        <v>5</v>
      </c>
      <c r="S9" s="2"/>
      <c r="T9" s="23"/>
      <c r="U9" s="9"/>
    </row>
    <row r="10" spans="1:23" x14ac:dyDescent="0.4">
      <c r="A10" s="29">
        <f t="shared" ref="A10" si="2">A7+1</f>
        <v>45811</v>
      </c>
      <c r="B10" s="4" t="s">
        <v>3</v>
      </c>
      <c r="C10" s="5" t="s">
        <v>54</v>
      </c>
      <c r="D10" s="5" t="s">
        <v>51</v>
      </c>
      <c r="E10" s="6"/>
      <c r="F10" s="23">
        <v>9000</v>
      </c>
      <c r="G10" s="4" t="s">
        <v>3</v>
      </c>
      <c r="H10" s="2">
        <v>3500</v>
      </c>
      <c r="I10" s="23">
        <f>F10+H10+H11+H12</f>
        <v>12500</v>
      </c>
      <c r="J10" s="9"/>
      <c r="L10" s="29">
        <f t="shared" ref="L10" si="3">L7+1</f>
        <v>45827</v>
      </c>
      <c r="M10" s="4" t="s">
        <v>3</v>
      </c>
      <c r="N10" s="5" t="s">
        <v>136</v>
      </c>
      <c r="O10" s="5" t="s">
        <v>51</v>
      </c>
      <c r="P10" s="6"/>
      <c r="Q10" s="65">
        <v>9000</v>
      </c>
      <c r="R10" s="4" t="s">
        <v>3</v>
      </c>
      <c r="S10" s="2">
        <v>3000</v>
      </c>
      <c r="T10" s="23">
        <f t="shared" ref="T10" si="4">Q10+S10+S11+S12</f>
        <v>21500</v>
      </c>
      <c r="U10" s="9"/>
    </row>
    <row r="11" spans="1:23" x14ac:dyDescent="0.4">
      <c r="A11" s="29"/>
      <c r="B11" s="4" t="s">
        <v>4</v>
      </c>
      <c r="C11" s="5"/>
      <c r="D11" s="5"/>
      <c r="E11" s="6"/>
      <c r="F11" s="23"/>
      <c r="G11" s="4" t="s">
        <v>4</v>
      </c>
      <c r="H11" s="2"/>
      <c r="I11" s="23"/>
      <c r="J11" s="9"/>
      <c r="L11" s="29"/>
      <c r="M11" s="4" t="s">
        <v>4</v>
      </c>
      <c r="N11" s="5" t="s">
        <v>137</v>
      </c>
      <c r="O11" s="5" t="s">
        <v>51</v>
      </c>
      <c r="P11" s="6"/>
      <c r="Q11" s="65"/>
      <c r="R11" s="4" t="s">
        <v>4</v>
      </c>
      <c r="S11" s="2">
        <v>9500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65"/>
      <c r="R12" s="4" t="s">
        <v>5</v>
      </c>
      <c r="S12" s="2"/>
      <c r="T12" s="23"/>
      <c r="U12" s="9"/>
    </row>
    <row r="13" spans="1:23" x14ac:dyDescent="0.4">
      <c r="A13" s="29">
        <f t="shared" ref="A13" si="5">A10+1</f>
        <v>45812</v>
      </c>
      <c r="B13" s="4" t="s">
        <v>3</v>
      </c>
      <c r="C13" s="5" t="s">
        <v>126</v>
      </c>
      <c r="D13" s="5" t="s">
        <v>51</v>
      </c>
      <c r="E13" s="6"/>
      <c r="F13" s="23">
        <v>9000</v>
      </c>
      <c r="G13" s="4" t="s">
        <v>3</v>
      </c>
      <c r="H13" s="2">
        <v>6500</v>
      </c>
      <c r="I13" s="23">
        <f t="shared" ref="I13" si="6">F13+H13+H14+H15</f>
        <v>22000</v>
      </c>
      <c r="J13" s="9"/>
      <c r="L13" s="29">
        <f t="shared" ref="L13" si="7">L10+1</f>
        <v>45828</v>
      </c>
      <c r="M13" s="4" t="s">
        <v>3</v>
      </c>
      <c r="N13" s="5" t="s">
        <v>136</v>
      </c>
      <c r="O13" s="5" t="s">
        <v>51</v>
      </c>
      <c r="P13" s="6"/>
      <c r="Q13" s="65">
        <v>9000</v>
      </c>
      <c r="R13" s="4" t="s">
        <v>3</v>
      </c>
      <c r="S13" s="2">
        <v>3000</v>
      </c>
      <c r="T13" s="23">
        <f t="shared" ref="T13" si="8">Q13+S13+S14+S15</f>
        <v>21500</v>
      </c>
      <c r="U13" s="9"/>
    </row>
    <row r="14" spans="1:23" x14ac:dyDescent="0.4">
      <c r="A14" s="29"/>
      <c r="B14" s="4" t="s">
        <v>4</v>
      </c>
      <c r="C14" s="5" t="s">
        <v>117</v>
      </c>
      <c r="D14" s="5" t="s">
        <v>51</v>
      </c>
      <c r="E14" s="6"/>
      <c r="F14" s="23"/>
      <c r="G14" s="4" t="s">
        <v>4</v>
      </c>
      <c r="H14" s="2">
        <v>6500</v>
      </c>
      <c r="I14" s="23"/>
      <c r="J14" s="9"/>
      <c r="L14" s="29"/>
      <c r="M14" s="4" t="s">
        <v>4</v>
      </c>
      <c r="N14" s="5" t="s">
        <v>137</v>
      </c>
      <c r="O14" s="5" t="s">
        <v>51</v>
      </c>
      <c r="P14" s="6"/>
      <c r="Q14" s="65"/>
      <c r="R14" s="4" t="s">
        <v>4</v>
      </c>
      <c r="S14" s="2">
        <v>9500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65"/>
      <c r="R15" s="4" t="s">
        <v>5</v>
      </c>
      <c r="S15" s="2"/>
      <c r="T15" s="23"/>
      <c r="U15" s="9"/>
    </row>
    <row r="16" spans="1:23" x14ac:dyDescent="0.4">
      <c r="A16" s="29">
        <f t="shared" ref="A16" si="9">A13+1</f>
        <v>45813</v>
      </c>
      <c r="B16" s="4" t="s">
        <v>3</v>
      </c>
      <c r="C16" s="5" t="s">
        <v>127</v>
      </c>
      <c r="D16" s="5" t="s">
        <v>51</v>
      </c>
      <c r="E16" s="6"/>
      <c r="F16" s="23">
        <v>9000</v>
      </c>
      <c r="G16" s="4" t="s">
        <v>3</v>
      </c>
      <c r="H16" s="2">
        <v>4000</v>
      </c>
      <c r="I16" s="23">
        <f t="shared" ref="I16" si="10">F16+H16+H17+H18</f>
        <v>23500</v>
      </c>
      <c r="J16" s="9"/>
      <c r="L16" s="29">
        <f t="shared" ref="L16" si="11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2">Q16+S16+S17+S18</f>
        <v>0</v>
      </c>
      <c r="U16" s="9"/>
    </row>
    <row r="17" spans="1:21" x14ac:dyDescent="0.4">
      <c r="A17" s="29"/>
      <c r="B17" s="4" t="s">
        <v>4</v>
      </c>
      <c r="C17" s="5" t="s">
        <v>111</v>
      </c>
      <c r="D17" s="5" t="s">
        <v>51</v>
      </c>
      <c r="E17" s="6"/>
      <c r="F17" s="23"/>
      <c r="G17" s="4" t="s">
        <v>4</v>
      </c>
      <c r="H17" s="2">
        <v>4000</v>
      </c>
      <c r="I17" s="23"/>
      <c r="J17" s="9"/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 t="s">
        <v>128</v>
      </c>
      <c r="D18" s="5" t="s">
        <v>51</v>
      </c>
      <c r="E18" s="6"/>
      <c r="F18" s="23"/>
      <c r="G18" s="4" t="s">
        <v>5</v>
      </c>
      <c r="H18" s="2">
        <v>6500</v>
      </c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3">A16+1</f>
        <v>45814</v>
      </c>
      <c r="B19" s="4" t="s">
        <v>3</v>
      </c>
      <c r="C19" s="5" t="s">
        <v>129</v>
      </c>
      <c r="D19" s="5" t="s">
        <v>51</v>
      </c>
      <c r="E19" s="6"/>
      <c r="F19" s="23">
        <v>9000</v>
      </c>
      <c r="G19" s="4" t="s">
        <v>3</v>
      </c>
      <c r="H19" s="2">
        <v>6500</v>
      </c>
      <c r="I19" s="23">
        <f t="shared" ref="I19" si="14">F19+H19+H20+H21</f>
        <v>20000</v>
      </c>
      <c r="J19" s="9"/>
      <c r="L19" s="29">
        <f t="shared" ref="L19" si="15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6">Q19+S19+S20+S21</f>
        <v>0</v>
      </c>
      <c r="U19" s="9"/>
    </row>
    <row r="20" spans="1:21" x14ac:dyDescent="0.4">
      <c r="A20" s="29"/>
      <c r="B20" s="4" t="s">
        <v>4</v>
      </c>
      <c r="C20" s="5" t="s">
        <v>102</v>
      </c>
      <c r="D20" s="5" t="s">
        <v>51</v>
      </c>
      <c r="E20" s="6"/>
      <c r="F20" s="23"/>
      <c r="G20" s="4" t="s">
        <v>4</v>
      </c>
      <c r="H20" s="2">
        <v>4500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7">A19+1</f>
        <v>45815</v>
      </c>
      <c r="B22" s="4" t="s">
        <v>3</v>
      </c>
      <c r="C22" s="5" t="s">
        <v>66</v>
      </c>
      <c r="D22" s="5" t="s">
        <v>51</v>
      </c>
      <c r="E22" s="6"/>
      <c r="F22" s="23">
        <v>9000</v>
      </c>
      <c r="G22" s="4" t="s">
        <v>3</v>
      </c>
      <c r="H22" s="2">
        <v>3000</v>
      </c>
      <c r="I22" s="23">
        <f t="shared" ref="I22" si="18">F22+H22+H23+H24</f>
        <v>15000</v>
      </c>
      <c r="J22" s="9"/>
      <c r="L22" s="29">
        <f t="shared" ref="L22" si="19">L19+1</f>
        <v>45831</v>
      </c>
      <c r="M22" s="4" t="s">
        <v>3</v>
      </c>
      <c r="N22" s="5" t="s">
        <v>138</v>
      </c>
      <c r="O22" s="5" t="s">
        <v>51</v>
      </c>
      <c r="P22" s="6"/>
      <c r="Q22" s="23">
        <v>9000</v>
      </c>
      <c r="R22" s="4" t="s">
        <v>3</v>
      </c>
      <c r="S22" s="2">
        <v>6500</v>
      </c>
      <c r="T22" s="23">
        <f>Q22+S22+S23+S24</f>
        <v>22000</v>
      </c>
      <c r="U22" s="9"/>
    </row>
    <row r="23" spans="1:21" x14ac:dyDescent="0.4">
      <c r="A23" s="29"/>
      <c r="B23" s="4" t="s">
        <v>4</v>
      </c>
      <c r="C23" s="5" t="s">
        <v>79</v>
      </c>
      <c r="D23" s="5" t="s">
        <v>51</v>
      </c>
      <c r="E23" s="6"/>
      <c r="F23" s="23"/>
      <c r="G23" s="4" t="s">
        <v>4</v>
      </c>
      <c r="H23" s="2">
        <v>3000</v>
      </c>
      <c r="I23" s="23"/>
      <c r="J23" s="9"/>
      <c r="L23" s="29"/>
      <c r="M23" s="4" t="s">
        <v>4</v>
      </c>
      <c r="N23" s="5" t="s">
        <v>139</v>
      </c>
      <c r="O23" s="5" t="s">
        <v>51</v>
      </c>
      <c r="P23" s="6"/>
      <c r="Q23" s="23"/>
      <c r="R23" s="4" t="s">
        <v>4</v>
      </c>
      <c r="S23" s="2">
        <v>6500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0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1">F25+H25+H26+H27</f>
        <v>0</v>
      </c>
      <c r="J25" s="9"/>
      <c r="L25" s="29">
        <f t="shared" ref="L25" si="22">L22+1</f>
        <v>45832</v>
      </c>
      <c r="M25" s="4" t="s">
        <v>3</v>
      </c>
      <c r="N25" s="5" t="s">
        <v>138</v>
      </c>
      <c r="O25" s="5" t="s">
        <v>51</v>
      </c>
      <c r="P25" s="6"/>
      <c r="Q25" s="23">
        <v>9000</v>
      </c>
      <c r="R25" s="4" t="s">
        <v>3</v>
      </c>
      <c r="S25" s="2">
        <v>6500</v>
      </c>
      <c r="T25" s="23">
        <f>Q25+S25+S26+S27</f>
        <v>22000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139</v>
      </c>
      <c r="O26" s="5" t="s">
        <v>51</v>
      </c>
      <c r="P26" s="6"/>
      <c r="Q26" s="23"/>
      <c r="R26" s="4" t="s">
        <v>4</v>
      </c>
      <c r="S26" s="2">
        <v>6500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3">A25+1</f>
        <v>45817</v>
      </c>
      <c r="B28" s="4" t="s">
        <v>3</v>
      </c>
      <c r="C28" s="5" t="s">
        <v>130</v>
      </c>
      <c r="D28" s="5" t="s">
        <v>51</v>
      </c>
      <c r="E28" s="6"/>
      <c r="F28" s="23">
        <v>9000</v>
      </c>
      <c r="G28" s="4" t="s">
        <v>3</v>
      </c>
      <c r="H28" s="2">
        <v>3500</v>
      </c>
      <c r="I28" s="23">
        <f t="shared" ref="I28" si="24">F28+H28+H29+H30</f>
        <v>20000</v>
      </c>
      <c r="J28" s="9" t="s">
        <v>103</v>
      </c>
      <c r="L28" s="29">
        <f t="shared" ref="L28" si="25">L25+1</f>
        <v>45833</v>
      </c>
      <c r="M28" s="4" t="s">
        <v>3</v>
      </c>
      <c r="N28" s="5" t="s">
        <v>140</v>
      </c>
      <c r="O28" s="5" t="s">
        <v>51</v>
      </c>
      <c r="P28" s="6"/>
      <c r="Q28" s="23">
        <v>9000</v>
      </c>
      <c r="R28" s="4" t="s">
        <v>3</v>
      </c>
      <c r="S28" s="2">
        <v>8000</v>
      </c>
      <c r="T28" s="23">
        <f>Q28+S28+S29+S30</f>
        <v>28000</v>
      </c>
      <c r="U28" s="9" t="s">
        <v>141</v>
      </c>
    </row>
    <row r="29" spans="1:21" x14ac:dyDescent="0.4">
      <c r="A29" s="29"/>
      <c r="B29" s="4" t="s">
        <v>4</v>
      </c>
      <c r="C29" s="5" t="s">
        <v>56</v>
      </c>
      <c r="D29" s="5" t="s">
        <v>51</v>
      </c>
      <c r="E29" s="6"/>
      <c r="F29" s="23"/>
      <c r="G29" s="4" t="s">
        <v>4</v>
      </c>
      <c r="H29" s="2">
        <v>3000</v>
      </c>
      <c r="I29" s="23"/>
      <c r="J29" s="9"/>
      <c r="L29" s="29"/>
      <c r="M29" s="4" t="s">
        <v>4</v>
      </c>
      <c r="N29" s="5" t="s">
        <v>139</v>
      </c>
      <c r="O29" s="5" t="s">
        <v>51</v>
      </c>
      <c r="P29" s="6"/>
      <c r="Q29" s="23"/>
      <c r="R29" s="4" t="s">
        <v>4</v>
      </c>
      <c r="S29" s="2">
        <v>6500</v>
      </c>
      <c r="T29" s="23"/>
      <c r="U29" s="9"/>
    </row>
    <row r="30" spans="1:21" x14ac:dyDescent="0.4">
      <c r="A30" s="29"/>
      <c r="B30" s="4" t="s">
        <v>5</v>
      </c>
      <c r="C30" s="5" t="s">
        <v>49</v>
      </c>
      <c r="D30" s="5" t="s">
        <v>51</v>
      </c>
      <c r="E30" s="6"/>
      <c r="F30" s="23"/>
      <c r="G30" s="4" t="s">
        <v>5</v>
      </c>
      <c r="H30" s="2">
        <v>4500</v>
      </c>
      <c r="I30" s="23"/>
      <c r="J30" s="9"/>
      <c r="L30" s="29"/>
      <c r="M30" s="4" t="s">
        <v>5</v>
      </c>
      <c r="N30" s="5" t="s">
        <v>79</v>
      </c>
      <c r="O30" s="5" t="s">
        <v>51</v>
      </c>
      <c r="P30" s="6"/>
      <c r="Q30" s="23"/>
      <c r="R30" s="4" t="s">
        <v>5</v>
      </c>
      <c r="S30" s="2">
        <v>4500</v>
      </c>
      <c r="T30" s="23"/>
      <c r="U30" s="9"/>
    </row>
    <row r="31" spans="1:21" x14ac:dyDescent="0.4">
      <c r="A31" s="29">
        <f t="shared" ref="A31" si="26">A28+1</f>
        <v>45818</v>
      </c>
      <c r="B31" s="4" t="s">
        <v>3</v>
      </c>
      <c r="C31" s="5" t="s">
        <v>53</v>
      </c>
      <c r="D31" s="5" t="s">
        <v>51</v>
      </c>
      <c r="E31" s="6"/>
      <c r="F31" s="23">
        <v>9000</v>
      </c>
      <c r="G31" s="4" t="s">
        <v>3</v>
      </c>
      <c r="H31" s="2">
        <v>3000</v>
      </c>
      <c r="I31" s="23">
        <f t="shared" ref="I31" si="27">F31+H31+H32+H33</f>
        <v>19500</v>
      </c>
      <c r="J31" s="9"/>
      <c r="L31" s="29">
        <f t="shared" ref="L31" si="28">L28+1</f>
        <v>45834</v>
      </c>
      <c r="M31" s="4" t="s">
        <v>3</v>
      </c>
      <c r="N31" s="5" t="s">
        <v>138</v>
      </c>
      <c r="O31" s="5" t="s">
        <v>51</v>
      </c>
      <c r="P31" s="6"/>
      <c r="Q31" s="23">
        <v>9000</v>
      </c>
      <c r="R31" s="4" t="s">
        <v>3</v>
      </c>
      <c r="S31" s="2">
        <v>6500</v>
      </c>
      <c r="T31" s="23">
        <f>Q31+S31+S32+S33</f>
        <v>22000</v>
      </c>
      <c r="U31" s="9"/>
    </row>
    <row r="32" spans="1:21" x14ac:dyDescent="0.4">
      <c r="A32" s="29"/>
      <c r="B32" s="4" t="s">
        <v>4</v>
      </c>
      <c r="C32" s="5" t="s">
        <v>131</v>
      </c>
      <c r="D32" s="5" t="s">
        <v>51</v>
      </c>
      <c r="E32" s="6"/>
      <c r="F32" s="23"/>
      <c r="G32" s="4" t="s">
        <v>4</v>
      </c>
      <c r="H32" s="2">
        <v>3000</v>
      </c>
      <c r="I32" s="23"/>
      <c r="J32" s="9"/>
      <c r="L32" s="29"/>
      <c r="M32" s="4" t="s">
        <v>4</v>
      </c>
      <c r="N32" s="5" t="s">
        <v>139</v>
      </c>
      <c r="O32" s="5" t="s">
        <v>51</v>
      </c>
      <c r="P32" s="6"/>
      <c r="Q32" s="23"/>
      <c r="R32" s="4" t="s">
        <v>4</v>
      </c>
      <c r="S32" s="2">
        <v>6500</v>
      </c>
      <c r="T32" s="23"/>
      <c r="U32" s="9"/>
    </row>
    <row r="33" spans="1:24" x14ac:dyDescent="0.4">
      <c r="A33" s="29"/>
      <c r="B33" s="4" t="s">
        <v>5</v>
      </c>
      <c r="C33" s="5" t="s">
        <v>79</v>
      </c>
      <c r="D33" s="5" t="s">
        <v>51</v>
      </c>
      <c r="E33" s="6"/>
      <c r="F33" s="23"/>
      <c r="G33" s="4" t="s">
        <v>5</v>
      </c>
      <c r="H33" s="2">
        <v>4500</v>
      </c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29">A31+1</f>
        <v>45819</v>
      </c>
      <c r="B34" s="4" t="s">
        <v>3</v>
      </c>
      <c r="C34" s="5" t="s">
        <v>132</v>
      </c>
      <c r="D34" s="5" t="s">
        <v>51</v>
      </c>
      <c r="E34" s="6"/>
      <c r="F34" s="23">
        <v>9000</v>
      </c>
      <c r="G34" s="4" t="s">
        <v>3</v>
      </c>
      <c r="H34" s="2">
        <v>2500</v>
      </c>
      <c r="I34" s="23">
        <f t="shared" ref="I34" si="30">F34+H34+H35+H36</f>
        <v>20500</v>
      </c>
      <c r="J34" s="9"/>
      <c r="L34" s="29">
        <f t="shared" ref="L34" si="31">L31+1</f>
        <v>45835</v>
      </c>
      <c r="M34" s="4" t="s">
        <v>3</v>
      </c>
      <c r="N34" s="5" t="s">
        <v>138</v>
      </c>
      <c r="O34" s="5" t="s">
        <v>51</v>
      </c>
      <c r="P34" s="6"/>
      <c r="Q34" s="23">
        <v>9000</v>
      </c>
      <c r="R34" s="4" t="s">
        <v>3</v>
      </c>
      <c r="S34" s="2">
        <v>6500</v>
      </c>
      <c r="T34" s="23">
        <f>Q34+S34+S35+S36</f>
        <v>22000</v>
      </c>
      <c r="U34" s="9"/>
    </row>
    <row r="35" spans="1:24" x14ac:dyDescent="0.4">
      <c r="A35" s="29"/>
      <c r="B35" s="4" t="s">
        <v>4</v>
      </c>
      <c r="C35" s="5" t="s">
        <v>132</v>
      </c>
      <c r="D35" s="5" t="s">
        <v>51</v>
      </c>
      <c r="E35" s="6"/>
      <c r="F35" s="23"/>
      <c r="G35" s="4" t="s">
        <v>4</v>
      </c>
      <c r="H35" s="2">
        <v>2500</v>
      </c>
      <c r="I35" s="23"/>
      <c r="J35" s="9"/>
      <c r="L35" s="29"/>
      <c r="M35" s="4" t="s">
        <v>4</v>
      </c>
      <c r="N35" s="5" t="s">
        <v>139</v>
      </c>
      <c r="O35" s="5" t="s">
        <v>51</v>
      </c>
      <c r="P35" s="6"/>
      <c r="Q35" s="23"/>
      <c r="R35" s="4" t="s">
        <v>4</v>
      </c>
      <c r="S35" s="2">
        <v>6500</v>
      </c>
      <c r="T35" s="23"/>
      <c r="U35" s="9"/>
    </row>
    <row r="36" spans="1:24" x14ac:dyDescent="0.4">
      <c r="A36" s="29"/>
      <c r="B36" s="4" t="s">
        <v>5</v>
      </c>
      <c r="C36" s="5" t="s">
        <v>133</v>
      </c>
      <c r="D36" s="5" t="s">
        <v>51</v>
      </c>
      <c r="E36" s="6"/>
      <c r="F36" s="23"/>
      <c r="G36" s="4" t="s">
        <v>5</v>
      </c>
      <c r="H36" s="2">
        <v>6500</v>
      </c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2">A34+1</f>
        <v>45820</v>
      </c>
      <c r="B37" s="4" t="s">
        <v>3</v>
      </c>
      <c r="C37" s="5" t="s">
        <v>134</v>
      </c>
      <c r="D37" s="5" t="s">
        <v>51</v>
      </c>
      <c r="E37" s="6"/>
      <c r="F37" s="23">
        <v>9000</v>
      </c>
      <c r="G37" s="4" t="s">
        <v>3</v>
      </c>
      <c r="H37" s="2">
        <v>6500</v>
      </c>
      <c r="I37" s="23">
        <f t="shared" ref="I37" si="33">F37+H37+H38+H39</f>
        <v>22000</v>
      </c>
      <c r="J37" s="9"/>
      <c r="L37" s="29">
        <f t="shared" ref="L37" si="34">L34+1</f>
        <v>45836</v>
      </c>
      <c r="M37" s="4" t="s">
        <v>3</v>
      </c>
      <c r="N37" s="5" t="s">
        <v>136</v>
      </c>
      <c r="O37" s="5" t="s">
        <v>51</v>
      </c>
      <c r="P37" s="6"/>
      <c r="Q37" s="65">
        <v>9000</v>
      </c>
      <c r="R37" s="4" t="s">
        <v>3</v>
      </c>
      <c r="S37" s="2">
        <v>3000</v>
      </c>
      <c r="T37" s="23">
        <f t="shared" ref="T37" si="35">Q37+S37+S38+S39</f>
        <v>21500</v>
      </c>
      <c r="U37" s="9"/>
      <c r="X37">
        <f>N50</f>
        <v>15000</v>
      </c>
    </row>
    <row r="38" spans="1:24" x14ac:dyDescent="0.4">
      <c r="A38" s="29"/>
      <c r="B38" s="4" t="s">
        <v>4</v>
      </c>
      <c r="C38" s="5" t="s">
        <v>135</v>
      </c>
      <c r="D38" s="5" t="s">
        <v>51</v>
      </c>
      <c r="E38" s="6"/>
      <c r="F38" s="23"/>
      <c r="G38" s="4" t="s">
        <v>4</v>
      </c>
      <c r="H38" s="2">
        <v>6500</v>
      </c>
      <c r="I38" s="23"/>
      <c r="J38" s="9"/>
      <c r="L38" s="29"/>
      <c r="M38" s="4" t="s">
        <v>4</v>
      </c>
      <c r="N38" s="5" t="s">
        <v>137</v>
      </c>
      <c r="O38" s="5" t="s">
        <v>51</v>
      </c>
      <c r="P38" s="6"/>
      <c r="Q38" s="65"/>
      <c r="R38" s="4" t="s">
        <v>4</v>
      </c>
      <c r="S38" s="2">
        <v>9500</v>
      </c>
      <c r="T38" s="23"/>
      <c r="U38" s="9"/>
      <c r="X38">
        <f>O50</f>
        <v>221000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65"/>
      <c r="R39" s="4" t="s">
        <v>5</v>
      </c>
      <c r="S39" s="2"/>
      <c r="T39" s="23"/>
      <c r="U39" s="9"/>
      <c r="X39">
        <f>S50</f>
        <v>286500</v>
      </c>
    </row>
    <row r="40" spans="1:24" x14ac:dyDescent="0.4">
      <c r="A40" s="29">
        <f t="shared" ref="A40" si="36">A37+1</f>
        <v>45821</v>
      </c>
      <c r="B40" s="4" t="s">
        <v>3</v>
      </c>
      <c r="C40" s="5" t="s">
        <v>100</v>
      </c>
      <c r="D40" s="5" t="s">
        <v>51</v>
      </c>
      <c r="E40" s="6"/>
      <c r="F40" s="23">
        <v>9000</v>
      </c>
      <c r="G40" s="4" t="s">
        <v>3</v>
      </c>
      <c r="H40" s="2">
        <v>6500</v>
      </c>
      <c r="I40" s="23">
        <f>F40+H40+H41+H42</f>
        <v>20000</v>
      </c>
      <c r="J40" s="9"/>
      <c r="L40" s="29">
        <f t="shared" ref="L40" si="37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38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54</v>
      </c>
      <c r="D41" s="5" t="s">
        <v>51</v>
      </c>
      <c r="E41" s="6"/>
      <c r="F41" s="23"/>
      <c r="G41" s="4" t="s">
        <v>4</v>
      </c>
      <c r="H41" s="2">
        <v>4500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15000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39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0">F43+H43+H44+H45</f>
        <v>0</v>
      </c>
      <c r="J43" s="9"/>
      <c r="L43" s="29">
        <f t="shared" ref="L43" si="41">L40+1</f>
        <v>45838</v>
      </c>
      <c r="M43" s="4" t="s">
        <v>3</v>
      </c>
      <c r="N43" s="5" t="s">
        <v>143</v>
      </c>
      <c r="O43" s="5" t="s">
        <v>51</v>
      </c>
      <c r="P43" s="6"/>
      <c r="Q43" s="65">
        <v>9000</v>
      </c>
      <c r="R43" s="4" t="s">
        <v>3</v>
      </c>
      <c r="S43" s="2">
        <v>2500</v>
      </c>
      <c r="T43" s="23">
        <f t="shared" ref="T43" si="42">Q43+S43+S44+S45</f>
        <v>19000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142</v>
      </c>
      <c r="O44" s="5" t="s">
        <v>51</v>
      </c>
      <c r="P44" s="6"/>
      <c r="Q44" s="65"/>
      <c r="R44" s="4" t="s">
        <v>4</v>
      </c>
      <c r="S44" s="2">
        <v>3000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 t="s">
        <v>54</v>
      </c>
      <c r="O45" s="5" t="s">
        <v>51</v>
      </c>
      <c r="P45" s="6"/>
      <c r="Q45" s="65"/>
      <c r="R45" s="4" t="s">
        <v>5</v>
      </c>
      <c r="S45" s="2">
        <v>4500</v>
      </c>
      <c r="T45" s="23"/>
      <c r="U45" s="9"/>
    </row>
    <row r="46" spans="1:24" x14ac:dyDescent="0.4">
      <c r="A46" s="29">
        <f t="shared" ref="A46" si="43">A43+1</f>
        <v>45823</v>
      </c>
      <c r="B46" s="4" t="s">
        <v>3</v>
      </c>
      <c r="C46" s="5" t="s">
        <v>136</v>
      </c>
      <c r="D46" s="5" t="s">
        <v>51</v>
      </c>
      <c r="E46" s="6"/>
      <c r="F46" s="64">
        <v>14000</v>
      </c>
      <c r="G46" s="4" t="s">
        <v>3</v>
      </c>
      <c r="H46" s="2">
        <v>3000</v>
      </c>
      <c r="I46" s="23">
        <f t="shared" ref="I46" si="44">F46+H46+H47+H48</f>
        <v>26500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45">Q46+S46+S47+S48</f>
        <v>0</v>
      </c>
      <c r="U46" s="9"/>
    </row>
    <row r="47" spans="1:24" x14ac:dyDescent="0.4">
      <c r="A47" s="29"/>
      <c r="B47" s="4" t="s">
        <v>4</v>
      </c>
      <c r="C47" s="5" t="s">
        <v>137</v>
      </c>
      <c r="D47" s="5" t="s">
        <v>51</v>
      </c>
      <c r="E47" s="6"/>
      <c r="F47" s="64"/>
      <c r="G47" s="4" t="s">
        <v>4</v>
      </c>
      <c r="H47" s="2">
        <v>9500</v>
      </c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64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46">A46+1</f>
        <v>45824</v>
      </c>
      <c r="B49" s="4" t="s">
        <v>3</v>
      </c>
      <c r="C49" s="5" t="s">
        <v>136</v>
      </c>
      <c r="D49" s="5" t="s">
        <v>51</v>
      </c>
      <c r="E49" s="6"/>
      <c r="F49" s="23">
        <v>9000</v>
      </c>
      <c r="G49" s="4" t="s">
        <v>3</v>
      </c>
      <c r="H49" s="2">
        <v>3000</v>
      </c>
      <c r="I49" s="23">
        <f t="shared" ref="I49" si="47">F49+H49+H50+H51</f>
        <v>21500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137</v>
      </c>
      <c r="D50" s="5" t="s">
        <v>51</v>
      </c>
      <c r="E50" s="6"/>
      <c r="F50" s="23"/>
      <c r="G50" s="4" t="s">
        <v>4</v>
      </c>
      <c r="H50" s="2">
        <v>9500</v>
      </c>
      <c r="I50" s="23"/>
      <c r="J50" s="9"/>
      <c r="L50" s="27">
        <f>W7</f>
        <v>24</v>
      </c>
      <c r="M50" s="28" t="s">
        <v>12</v>
      </c>
      <c r="N50" s="23">
        <f>MAX((L50-21)*5000,0)</f>
        <v>15000</v>
      </c>
      <c r="O50" s="31">
        <f>SUM(F4:F51,Q4:Q48)</f>
        <v>221000</v>
      </c>
      <c r="P50" s="31"/>
      <c r="Q50" s="31"/>
      <c r="R50" s="31"/>
      <c r="S50" s="23">
        <f>SUM(H4:H51,S4:S48)</f>
        <v>286500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40</v>
      </c>
      <c r="I53" s="23"/>
      <c r="J53" s="41">
        <v>46054</v>
      </c>
      <c r="L53" s="47" t="s">
        <v>36</v>
      </c>
      <c r="M53" s="48"/>
      <c r="N53" s="48"/>
      <c r="O53" s="48"/>
      <c r="P53" s="19"/>
      <c r="Q53" s="31">
        <v>15000</v>
      </c>
      <c r="R53" s="31"/>
      <c r="S53" s="23">
        <v>30000</v>
      </c>
      <c r="T53" s="23"/>
      <c r="U53" s="39">
        <f>SUM(X37:X42)</f>
        <v>577500</v>
      </c>
    </row>
    <row r="54" spans="1:21" ht="19.5" customHeight="1" thickBot="1" x14ac:dyDescent="0.45">
      <c r="H54" s="27"/>
      <c r="I54" s="23"/>
      <c r="J54" s="22"/>
      <c r="L54" s="49"/>
      <c r="M54" s="50"/>
      <c r="N54" s="50"/>
      <c r="O54" s="50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51"/>
      <c r="M55" s="52"/>
      <c r="N55" s="52"/>
      <c r="O55" s="52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" xr:uid="{24B5A44F-08B7-41D7-92C4-931DF013BCBA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52DB-C3BF-41F1-9047-BBA2B61BBE5B}">
  <sheetPr>
    <pageSetUpPr fitToPage="1"/>
  </sheetPr>
  <dimension ref="A1:X56"/>
  <sheetViews>
    <sheetView topLeftCell="A30" workbookViewId="0">
      <selection activeCell="B4" sqref="B4:I6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64">
        <v>14000</v>
      </c>
      <c r="G4" s="4" t="s">
        <v>3</v>
      </c>
      <c r="H4" s="2"/>
      <c r="I4" s="23">
        <f t="shared" ref="I4" si="0">F4+H4+H5+H6</f>
        <v>23000</v>
      </c>
      <c r="J4" s="9"/>
      <c r="L4" s="29">
        <f>A49+1</f>
        <v>45825</v>
      </c>
      <c r="M4" s="4" t="s">
        <v>3</v>
      </c>
      <c r="N4" s="5" t="s">
        <v>162</v>
      </c>
      <c r="O4" s="5" t="s">
        <v>51</v>
      </c>
      <c r="P4" s="6"/>
      <c r="Q4" s="23">
        <v>9000</v>
      </c>
      <c r="R4" s="4" t="s">
        <v>3</v>
      </c>
      <c r="S4" s="2">
        <v>3000</v>
      </c>
      <c r="T4" s="23">
        <f t="shared" ref="T4" si="1">Q4+S4+S5+S6</f>
        <v>18500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95</v>
      </c>
      <c r="D5" s="5" t="s">
        <v>19</v>
      </c>
      <c r="E5" s="6"/>
      <c r="F5" s="64"/>
      <c r="G5" s="4" t="s">
        <v>4</v>
      </c>
      <c r="H5" s="2">
        <v>9000</v>
      </c>
      <c r="I5" s="23"/>
      <c r="J5" s="9"/>
      <c r="L5" s="29"/>
      <c r="M5" s="4" t="s">
        <v>4</v>
      </c>
      <c r="N5" s="5" t="s">
        <v>59</v>
      </c>
      <c r="O5" s="5" t="s">
        <v>51</v>
      </c>
      <c r="P5" s="6"/>
      <c r="Q5" s="23"/>
      <c r="R5" s="4" t="s">
        <v>4</v>
      </c>
      <c r="S5" s="2">
        <v>6500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64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144</v>
      </c>
      <c r="D7" s="5" t="s">
        <v>51</v>
      </c>
      <c r="E7" s="6"/>
      <c r="F7" s="23">
        <v>9000</v>
      </c>
      <c r="G7" s="4" t="s">
        <v>3</v>
      </c>
      <c r="H7" s="2">
        <v>3000</v>
      </c>
      <c r="I7" s="23">
        <f t="shared" ref="I7" si="2">F7+H7+H8+H9</f>
        <v>21000</v>
      </c>
      <c r="J7" s="9"/>
      <c r="L7" s="29">
        <f>L4+1</f>
        <v>45826</v>
      </c>
      <c r="M7" s="4" t="s">
        <v>3</v>
      </c>
      <c r="N7" s="5" t="s">
        <v>99</v>
      </c>
      <c r="O7" s="5" t="s">
        <v>51</v>
      </c>
      <c r="P7" s="6"/>
      <c r="Q7" s="23">
        <v>9000</v>
      </c>
      <c r="R7" s="4" t="s">
        <v>3</v>
      </c>
      <c r="S7" s="2">
        <v>6500</v>
      </c>
      <c r="T7" s="23">
        <f t="shared" ref="T7" si="3">Q7+S7+S8+S9</f>
        <v>20000</v>
      </c>
      <c r="U7" s="9"/>
      <c r="W7">
        <f>COUNT(F4:F51,Q4:Q48)</f>
        <v>25</v>
      </c>
    </row>
    <row r="8" spans="1:23" x14ac:dyDescent="0.4">
      <c r="A8" s="29"/>
      <c r="B8" s="4" t="s">
        <v>4</v>
      </c>
      <c r="C8" s="5" t="s">
        <v>95</v>
      </c>
      <c r="D8" s="5" t="s">
        <v>19</v>
      </c>
      <c r="E8" s="6"/>
      <c r="F8" s="23"/>
      <c r="G8" s="4" t="s">
        <v>4</v>
      </c>
      <c r="H8" s="2">
        <v>9000</v>
      </c>
      <c r="I8" s="23"/>
      <c r="J8" s="9"/>
      <c r="L8" s="29"/>
      <c r="M8" s="4" t="s">
        <v>4</v>
      </c>
      <c r="N8" s="5" t="s">
        <v>163</v>
      </c>
      <c r="O8" s="5" t="s">
        <v>19</v>
      </c>
      <c r="P8" s="6"/>
      <c r="Q8" s="23"/>
      <c r="R8" s="4" t="s">
        <v>4</v>
      </c>
      <c r="S8" s="2">
        <v>4500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4">A7+1</f>
        <v>45811</v>
      </c>
      <c r="B10" s="4" t="s">
        <v>3</v>
      </c>
      <c r="C10" s="5" t="s">
        <v>53</v>
      </c>
      <c r="D10" s="5" t="s">
        <v>51</v>
      </c>
      <c r="E10" s="6"/>
      <c r="F10" s="23">
        <v>9000</v>
      </c>
      <c r="G10" s="4" t="s">
        <v>3</v>
      </c>
      <c r="H10" s="2">
        <v>3000</v>
      </c>
      <c r="I10" s="23">
        <f t="shared" ref="I10" si="5">F10+H10+H11+H12</f>
        <v>21000</v>
      </c>
      <c r="J10" s="9"/>
      <c r="L10" s="29">
        <f t="shared" ref="L10" si="6">L7+1</f>
        <v>45827</v>
      </c>
      <c r="M10" s="4" t="s">
        <v>3</v>
      </c>
      <c r="N10" s="5" t="s">
        <v>164</v>
      </c>
      <c r="O10" s="5" t="s">
        <v>51</v>
      </c>
      <c r="P10" s="6"/>
      <c r="Q10" s="23">
        <v>9000</v>
      </c>
      <c r="R10" s="4" t="s">
        <v>3</v>
      </c>
      <c r="S10" s="2">
        <v>3000</v>
      </c>
      <c r="T10" s="23">
        <f t="shared" ref="T10" si="7">Q10+S10+S11+S12</f>
        <v>15500</v>
      </c>
      <c r="U10" s="9"/>
    </row>
    <row r="11" spans="1:23" x14ac:dyDescent="0.4">
      <c r="A11" s="29"/>
      <c r="B11" s="4" t="s">
        <v>4</v>
      </c>
      <c r="C11" s="5" t="s">
        <v>95</v>
      </c>
      <c r="D11" s="5" t="s">
        <v>19</v>
      </c>
      <c r="E11" s="6"/>
      <c r="F11" s="23"/>
      <c r="G11" s="4" t="s">
        <v>4</v>
      </c>
      <c r="H11" s="2">
        <v>9000</v>
      </c>
      <c r="I11" s="23"/>
      <c r="J11" s="9"/>
      <c r="L11" s="29"/>
      <c r="M11" s="4" t="s">
        <v>4</v>
      </c>
      <c r="N11" s="5" t="s">
        <v>165</v>
      </c>
      <c r="O11" s="5" t="s">
        <v>51</v>
      </c>
      <c r="P11" s="6"/>
      <c r="Q11" s="23"/>
      <c r="R11" s="4" t="s">
        <v>4</v>
      </c>
      <c r="S11" s="2">
        <v>3500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8">A10+1</f>
        <v>45812</v>
      </c>
      <c r="B13" s="4" t="s">
        <v>3</v>
      </c>
      <c r="C13" s="5" t="s">
        <v>145</v>
      </c>
      <c r="D13" s="5" t="s">
        <v>51</v>
      </c>
      <c r="E13" s="6"/>
      <c r="F13" s="23">
        <v>9000</v>
      </c>
      <c r="G13" s="4" t="s">
        <v>3</v>
      </c>
      <c r="H13" s="2">
        <v>2500</v>
      </c>
      <c r="I13" s="23">
        <f t="shared" ref="I13" si="9">F13+H13+H14+H15</f>
        <v>20500</v>
      </c>
      <c r="J13" s="9"/>
      <c r="L13" s="29">
        <f t="shared" ref="L13" si="10">L10+1</f>
        <v>45828</v>
      </c>
      <c r="M13" s="4" t="s">
        <v>3</v>
      </c>
      <c r="N13" s="5" t="s">
        <v>166</v>
      </c>
      <c r="O13" s="5" t="s">
        <v>51</v>
      </c>
      <c r="P13" s="6"/>
      <c r="Q13" s="23">
        <v>9000</v>
      </c>
      <c r="R13" s="4" t="s">
        <v>3</v>
      </c>
      <c r="S13" s="2">
        <v>10000</v>
      </c>
      <c r="T13" s="23">
        <f t="shared" ref="T13" si="11">Q13+S13+S14+S15</f>
        <v>25500</v>
      </c>
      <c r="U13" s="9"/>
    </row>
    <row r="14" spans="1:23" x14ac:dyDescent="0.4">
      <c r="A14" s="29"/>
      <c r="B14" s="4" t="s">
        <v>4</v>
      </c>
      <c r="C14" s="5" t="s">
        <v>95</v>
      </c>
      <c r="D14" s="5" t="s">
        <v>19</v>
      </c>
      <c r="E14" s="6"/>
      <c r="F14" s="23"/>
      <c r="G14" s="4" t="s">
        <v>4</v>
      </c>
      <c r="H14" s="2">
        <v>9000</v>
      </c>
      <c r="I14" s="23"/>
      <c r="J14" s="9"/>
      <c r="L14" s="29"/>
      <c r="M14" s="4" t="s">
        <v>4</v>
      </c>
      <c r="N14" s="5" t="s">
        <v>167</v>
      </c>
      <c r="O14" s="5" t="s">
        <v>51</v>
      </c>
      <c r="P14" s="6"/>
      <c r="Q14" s="23"/>
      <c r="R14" s="4" t="s">
        <v>4</v>
      </c>
      <c r="S14" s="2">
        <v>6500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2">A13+1</f>
        <v>45813</v>
      </c>
      <c r="B16" s="4" t="s">
        <v>3</v>
      </c>
      <c r="C16" s="5"/>
      <c r="D16" s="5"/>
      <c r="E16" s="6"/>
      <c r="F16" s="23">
        <v>9000</v>
      </c>
      <c r="G16" s="4" t="s">
        <v>3</v>
      </c>
      <c r="H16" s="2"/>
      <c r="I16" s="23">
        <f t="shared" ref="I16" si="13">F16+H16+H17+H18</f>
        <v>18000</v>
      </c>
      <c r="J16" s="9"/>
      <c r="L16" s="29">
        <f t="shared" ref="L16" si="14">L13+1</f>
        <v>45829</v>
      </c>
      <c r="M16" s="4" t="s">
        <v>3</v>
      </c>
      <c r="N16" s="5" t="s">
        <v>168</v>
      </c>
      <c r="O16" s="5" t="s">
        <v>51</v>
      </c>
      <c r="P16" s="6"/>
      <c r="Q16" s="23">
        <v>9000</v>
      </c>
      <c r="R16" s="4" t="s">
        <v>3</v>
      </c>
      <c r="S16" s="2">
        <v>3000</v>
      </c>
      <c r="T16" s="23">
        <f t="shared" ref="T16" si="15">Q16+S16+S17+S18</f>
        <v>19500</v>
      </c>
      <c r="U16" s="9"/>
    </row>
    <row r="17" spans="1:21" x14ac:dyDescent="0.4">
      <c r="A17" s="29"/>
      <c r="B17" s="4" t="s">
        <v>4</v>
      </c>
      <c r="C17" s="5" t="s">
        <v>95</v>
      </c>
      <c r="D17" s="5" t="s">
        <v>19</v>
      </c>
      <c r="E17" s="6"/>
      <c r="F17" s="23"/>
      <c r="G17" s="4" t="s">
        <v>4</v>
      </c>
      <c r="H17" s="2">
        <v>9000</v>
      </c>
      <c r="I17" s="23"/>
      <c r="J17" s="9"/>
      <c r="L17" s="29"/>
      <c r="M17" s="4" t="s">
        <v>4</v>
      </c>
      <c r="N17" s="5" t="s">
        <v>79</v>
      </c>
      <c r="O17" s="5" t="s">
        <v>51</v>
      </c>
      <c r="P17" s="6"/>
      <c r="Q17" s="23"/>
      <c r="R17" s="4" t="s">
        <v>4</v>
      </c>
      <c r="S17" s="2">
        <v>3000</v>
      </c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 t="s">
        <v>169</v>
      </c>
      <c r="O18" s="5" t="s">
        <v>51</v>
      </c>
      <c r="P18" s="6"/>
      <c r="Q18" s="23"/>
      <c r="R18" s="4" t="s">
        <v>5</v>
      </c>
      <c r="S18" s="2">
        <v>4500</v>
      </c>
      <c r="T18" s="23"/>
      <c r="U18" s="9"/>
    </row>
    <row r="19" spans="1:21" x14ac:dyDescent="0.4">
      <c r="A19" s="29">
        <f t="shared" ref="A19" si="16">A16+1</f>
        <v>45814</v>
      </c>
      <c r="B19" s="4" t="s">
        <v>3</v>
      </c>
      <c r="C19" s="5"/>
      <c r="D19" s="5"/>
      <c r="E19" s="6"/>
      <c r="F19" s="23">
        <v>9000</v>
      </c>
      <c r="G19" s="4" t="s">
        <v>3</v>
      </c>
      <c r="H19" s="2"/>
      <c r="I19" s="23">
        <f t="shared" ref="I19" si="17">F19+H19+H20+H21</f>
        <v>18000</v>
      </c>
      <c r="J19" s="9"/>
      <c r="L19" s="29">
        <f t="shared" ref="L19" si="18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9">Q19+S19+S20+S21</f>
        <v>0</v>
      </c>
      <c r="U19" s="9"/>
    </row>
    <row r="20" spans="1:21" x14ac:dyDescent="0.4">
      <c r="A20" s="29"/>
      <c r="B20" s="4" t="s">
        <v>4</v>
      </c>
      <c r="C20" s="5" t="s">
        <v>95</v>
      </c>
      <c r="D20" s="5" t="s">
        <v>19</v>
      </c>
      <c r="E20" s="6"/>
      <c r="F20" s="23"/>
      <c r="G20" s="4" t="s">
        <v>4</v>
      </c>
      <c r="H20" s="2">
        <v>9000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20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21">F22+H22+H23+H24</f>
        <v>0</v>
      </c>
      <c r="J22" s="9"/>
      <c r="L22" s="29">
        <f t="shared" ref="L22" si="22">L19+1</f>
        <v>45831</v>
      </c>
      <c r="M22" s="4" t="s">
        <v>3</v>
      </c>
      <c r="N22" s="5" t="s">
        <v>171</v>
      </c>
      <c r="O22" s="5" t="s">
        <v>51</v>
      </c>
      <c r="P22" s="6"/>
      <c r="Q22" s="23">
        <v>9000</v>
      </c>
      <c r="R22" s="4" t="s">
        <v>3</v>
      </c>
      <c r="S22" s="2">
        <v>5000</v>
      </c>
      <c r="T22" s="23">
        <f t="shared" ref="T22" si="23">Q22+S22+S23+S24</f>
        <v>23000</v>
      </c>
      <c r="U22" s="9" t="s">
        <v>172</v>
      </c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173</v>
      </c>
      <c r="O23" s="5" t="s">
        <v>51</v>
      </c>
      <c r="P23" s="6"/>
      <c r="Q23" s="23"/>
      <c r="R23" s="4" t="s">
        <v>4</v>
      </c>
      <c r="S23" s="2">
        <v>4500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 t="s">
        <v>174</v>
      </c>
      <c r="O24" s="5" t="s">
        <v>51</v>
      </c>
      <c r="P24" s="6"/>
      <c r="Q24" s="23"/>
      <c r="R24" s="4" t="s">
        <v>5</v>
      </c>
      <c r="S24" s="2">
        <v>4500</v>
      </c>
      <c r="T24" s="23"/>
      <c r="U24" s="9"/>
    </row>
    <row r="25" spans="1:21" x14ac:dyDescent="0.4">
      <c r="A25" s="29">
        <f t="shared" ref="A25" si="24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5">F25+H25+H26+H27</f>
        <v>0</v>
      </c>
      <c r="J25" s="9"/>
      <c r="L25" s="29">
        <f t="shared" ref="L25" si="26">L22+1</f>
        <v>45832</v>
      </c>
      <c r="M25" s="4" t="s">
        <v>3</v>
      </c>
      <c r="N25" s="5" t="s">
        <v>152</v>
      </c>
      <c r="O25" s="5" t="s">
        <v>51</v>
      </c>
      <c r="P25" s="6"/>
      <c r="Q25" s="23">
        <v>9000</v>
      </c>
      <c r="R25" s="4" t="s">
        <v>3</v>
      </c>
      <c r="S25" s="2">
        <v>6500</v>
      </c>
      <c r="T25" s="23">
        <f t="shared" ref="T25" si="27">Q25+S25+S26+S27</f>
        <v>22000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117</v>
      </c>
      <c r="O26" s="5" t="s">
        <v>51</v>
      </c>
      <c r="P26" s="6"/>
      <c r="Q26" s="23"/>
      <c r="R26" s="4" t="s">
        <v>4</v>
      </c>
      <c r="S26" s="2">
        <v>6500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8">A25+1</f>
        <v>45817</v>
      </c>
      <c r="B28" s="4" t="s">
        <v>3</v>
      </c>
      <c r="C28" s="5" t="s">
        <v>146</v>
      </c>
      <c r="D28" s="5" t="s">
        <v>51</v>
      </c>
      <c r="E28" s="6"/>
      <c r="F28" s="23">
        <v>9000</v>
      </c>
      <c r="G28" s="4" t="s">
        <v>3</v>
      </c>
      <c r="H28" s="2">
        <v>6500</v>
      </c>
      <c r="I28" s="23">
        <f t="shared" ref="I28" si="29">F28+H28+H29+H30</f>
        <v>22000</v>
      </c>
      <c r="J28" s="9"/>
      <c r="L28" s="29">
        <f t="shared" ref="L28" si="30">L25+1</f>
        <v>45833</v>
      </c>
      <c r="M28" s="4" t="s">
        <v>3</v>
      </c>
      <c r="N28" s="5" t="s">
        <v>118</v>
      </c>
      <c r="O28" s="5" t="s">
        <v>19</v>
      </c>
      <c r="P28" s="6"/>
      <c r="Q28" s="62">
        <v>9000</v>
      </c>
      <c r="R28" s="4" t="s">
        <v>3</v>
      </c>
      <c r="S28" s="2">
        <v>3500</v>
      </c>
      <c r="T28" s="23">
        <f t="shared" ref="T28" si="31">Q28+S28+S29+S30</f>
        <v>21500</v>
      </c>
      <c r="U28" s="9"/>
    </row>
    <row r="29" spans="1:21" x14ac:dyDescent="0.4">
      <c r="A29" s="29"/>
      <c r="B29" s="4" t="s">
        <v>4</v>
      </c>
      <c r="C29" s="5" t="s">
        <v>147</v>
      </c>
      <c r="D29" s="5" t="s">
        <v>51</v>
      </c>
      <c r="E29" s="6"/>
      <c r="F29" s="23"/>
      <c r="G29" s="4" t="s">
        <v>4</v>
      </c>
      <c r="H29" s="2">
        <v>6500</v>
      </c>
      <c r="I29" s="23"/>
      <c r="J29" s="9"/>
      <c r="L29" s="29"/>
      <c r="M29" s="4" t="s">
        <v>4</v>
      </c>
      <c r="N29" s="5" t="s">
        <v>89</v>
      </c>
      <c r="O29" s="5" t="s">
        <v>19</v>
      </c>
      <c r="P29" s="6"/>
      <c r="Q29" s="63"/>
      <c r="R29" s="4" t="s">
        <v>4</v>
      </c>
      <c r="S29" s="2">
        <v>4500</v>
      </c>
      <c r="T29" s="23"/>
      <c r="U29" s="9" t="s">
        <v>103</v>
      </c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 t="s">
        <v>118</v>
      </c>
      <c r="O30" s="5" t="s">
        <v>51</v>
      </c>
      <c r="P30" s="6"/>
      <c r="Q30" s="26"/>
      <c r="R30" s="4" t="s">
        <v>5</v>
      </c>
      <c r="S30" s="2">
        <v>4500</v>
      </c>
      <c r="T30" s="23"/>
      <c r="U30" s="9"/>
    </row>
    <row r="31" spans="1:21" x14ac:dyDescent="0.4">
      <c r="A31" s="29">
        <f t="shared" ref="A31" si="32">A28+1</f>
        <v>45818</v>
      </c>
      <c r="B31" s="4" t="s">
        <v>3</v>
      </c>
      <c r="C31" s="5" t="s">
        <v>148</v>
      </c>
      <c r="D31" s="5" t="s">
        <v>51</v>
      </c>
      <c r="E31" s="6"/>
      <c r="F31" s="23">
        <v>9000</v>
      </c>
      <c r="G31" s="4" t="s">
        <v>3</v>
      </c>
      <c r="H31" s="2">
        <v>3000</v>
      </c>
      <c r="I31" s="23">
        <f t="shared" ref="I31" si="33">F31+H31+H32+H33</f>
        <v>23500</v>
      </c>
      <c r="J31" s="9"/>
      <c r="L31" s="29">
        <f t="shared" ref="L31" si="34">L28+1</f>
        <v>45834</v>
      </c>
      <c r="M31" s="4" t="s">
        <v>3</v>
      </c>
      <c r="N31" s="5" t="s">
        <v>170</v>
      </c>
      <c r="O31" s="5" t="s">
        <v>51</v>
      </c>
      <c r="P31" s="6"/>
      <c r="Q31" s="62">
        <v>9000</v>
      </c>
      <c r="R31" s="4" t="s">
        <v>3</v>
      </c>
      <c r="S31" s="2">
        <v>3000</v>
      </c>
      <c r="T31" s="23">
        <f t="shared" ref="T31" si="35">Q31+S31+S32+S33</f>
        <v>19500</v>
      </c>
      <c r="U31" s="9"/>
    </row>
    <row r="32" spans="1:21" x14ac:dyDescent="0.4">
      <c r="A32" s="29"/>
      <c r="B32" s="4" t="s">
        <v>4</v>
      </c>
      <c r="C32" s="5" t="s">
        <v>149</v>
      </c>
      <c r="D32" s="5" t="s">
        <v>51</v>
      </c>
      <c r="E32" s="6"/>
      <c r="F32" s="23"/>
      <c r="G32" s="4" t="s">
        <v>4</v>
      </c>
      <c r="H32" s="2">
        <v>2500</v>
      </c>
      <c r="I32" s="23"/>
      <c r="J32" s="9"/>
      <c r="L32" s="29"/>
      <c r="M32" s="4" t="s">
        <v>4</v>
      </c>
      <c r="N32" s="5" t="s">
        <v>175</v>
      </c>
      <c r="O32" s="5" t="s">
        <v>51</v>
      </c>
      <c r="P32" s="6"/>
      <c r="Q32" s="63"/>
      <c r="R32" s="4" t="s">
        <v>4</v>
      </c>
      <c r="S32" s="2">
        <v>3000</v>
      </c>
      <c r="T32" s="23"/>
      <c r="U32" s="9"/>
    </row>
    <row r="33" spans="1:24" x14ac:dyDescent="0.4">
      <c r="A33" s="29"/>
      <c r="B33" s="4" t="s">
        <v>5</v>
      </c>
      <c r="C33" s="5" t="s">
        <v>150</v>
      </c>
      <c r="D33" s="5" t="s">
        <v>19</v>
      </c>
      <c r="E33" s="6"/>
      <c r="F33" s="23"/>
      <c r="G33" s="4" t="s">
        <v>5</v>
      </c>
      <c r="H33" s="2">
        <v>9000</v>
      </c>
      <c r="I33" s="23"/>
      <c r="J33" s="9" t="s">
        <v>151</v>
      </c>
      <c r="L33" s="29"/>
      <c r="M33" s="4" t="s">
        <v>5</v>
      </c>
      <c r="N33" s="5" t="s">
        <v>176</v>
      </c>
      <c r="O33" s="5" t="s">
        <v>19</v>
      </c>
      <c r="P33" s="6"/>
      <c r="Q33" s="26"/>
      <c r="R33" s="4" t="s">
        <v>5</v>
      </c>
      <c r="S33" s="2">
        <v>4500</v>
      </c>
      <c r="T33" s="23"/>
      <c r="U33" s="9"/>
    </row>
    <row r="34" spans="1:24" x14ac:dyDescent="0.4">
      <c r="A34" s="29">
        <f t="shared" ref="A34" si="36">A31+1</f>
        <v>45819</v>
      </c>
      <c r="B34" s="4" t="s">
        <v>3</v>
      </c>
      <c r="C34" s="5" t="s">
        <v>152</v>
      </c>
      <c r="D34" s="5" t="s">
        <v>51</v>
      </c>
      <c r="E34" s="6"/>
      <c r="F34" s="23">
        <v>9000</v>
      </c>
      <c r="G34" s="4" t="s">
        <v>3</v>
      </c>
      <c r="H34" s="2">
        <v>6500</v>
      </c>
      <c r="I34" s="23">
        <f t="shared" ref="I34" si="37">F34+H34+H35+H36</f>
        <v>27000</v>
      </c>
      <c r="J34" s="9"/>
      <c r="L34" s="29">
        <f t="shared" ref="L34" si="38">L31+1</f>
        <v>45835</v>
      </c>
      <c r="M34" s="4" t="s">
        <v>3</v>
      </c>
      <c r="N34" s="5" t="s">
        <v>177</v>
      </c>
      <c r="O34" s="5" t="s">
        <v>51</v>
      </c>
      <c r="P34" s="6"/>
      <c r="Q34" s="62">
        <v>9000</v>
      </c>
      <c r="R34" s="4" t="s">
        <v>3</v>
      </c>
      <c r="S34" s="2">
        <v>6500</v>
      </c>
      <c r="T34" s="23">
        <f t="shared" ref="T34" si="39">Q34+S34+S35+S36</f>
        <v>27000</v>
      </c>
      <c r="U34" s="9"/>
    </row>
    <row r="35" spans="1:24" x14ac:dyDescent="0.4">
      <c r="A35" s="29"/>
      <c r="B35" s="4" t="s">
        <v>4</v>
      </c>
      <c r="C35" s="5" t="s">
        <v>153</v>
      </c>
      <c r="D35" s="5" t="s">
        <v>84</v>
      </c>
      <c r="E35" s="6"/>
      <c r="F35" s="23"/>
      <c r="G35" s="4" t="s">
        <v>4</v>
      </c>
      <c r="H35" s="2">
        <v>11500</v>
      </c>
      <c r="I35" s="23"/>
      <c r="J35" s="9" t="s">
        <v>154</v>
      </c>
      <c r="L35" s="29"/>
      <c r="M35" s="4" t="s">
        <v>4</v>
      </c>
      <c r="N35" s="5" t="s">
        <v>153</v>
      </c>
      <c r="O35" s="5" t="s">
        <v>84</v>
      </c>
      <c r="P35" s="6"/>
      <c r="Q35" s="63"/>
      <c r="R35" s="4" t="s">
        <v>4</v>
      </c>
      <c r="S35" s="2">
        <v>11500</v>
      </c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6"/>
      <c r="R36" s="4" t="s">
        <v>5</v>
      </c>
      <c r="S36" s="2"/>
      <c r="T36" s="23"/>
      <c r="U36" s="9"/>
    </row>
    <row r="37" spans="1:24" x14ac:dyDescent="0.4">
      <c r="A37" s="29">
        <f t="shared" ref="A37" si="40">A34+1</f>
        <v>45820</v>
      </c>
      <c r="B37" s="4" t="s">
        <v>3</v>
      </c>
      <c r="C37" s="5" t="s">
        <v>155</v>
      </c>
      <c r="D37" s="5" t="s">
        <v>51</v>
      </c>
      <c r="E37" s="6"/>
      <c r="F37" s="23">
        <v>9000</v>
      </c>
      <c r="G37" s="4" t="s">
        <v>3</v>
      </c>
      <c r="H37" s="2">
        <v>3000</v>
      </c>
      <c r="I37" s="23">
        <f t="shared" ref="I37" si="41">F37+H37+H38+H39</f>
        <v>18500</v>
      </c>
      <c r="J37" s="9"/>
      <c r="L37" s="29">
        <f t="shared" ref="L37" si="42">L34+1</f>
        <v>45836</v>
      </c>
      <c r="M37" s="4" t="s">
        <v>3</v>
      </c>
      <c r="N37" s="5" t="s">
        <v>178</v>
      </c>
      <c r="O37" s="5" t="s">
        <v>51</v>
      </c>
      <c r="P37" s="6"/>
      <c r="Q37" s="62">
        <v>9000</v>
      </c>
      <c r="R37" s="4" t="s">
        <v>3</v>
      </c>
      <c r="S37" s="2">
        <v>3000</v>
      </c>
      <c r="T37" s="23">
        <f t="shared" ref="T37" si="43">Q37+S37+S38+S39</f>
        <v>15000</v>
      </c>
      <c r="U37" s="9" t="s">
        <v>179</v>
      </c>
      <c r="X37">
        <f>N50</f>
        <v>20000</v>
      </c>
    </row>
    <row r="38" spans="1:24" x14ac:dyDescent="0.4">
      <c r="A38" s="29"/>
      <c r="B38" s="4" t="s">
        <v>4</v>
      </c>
      <c r="C38" s="5" t="s">
        <v>59</v>
      </c>
      <c r="D38" s="5" t="s">
        <v>51</v>
      </c>
      <c r="E38" s="6"/>
      <c r="F38" s="23"/>
      <c r="G38" s="4" t="s">
        <v>4</v>
      </c>
      <c r="H38" s="2">
        <v>6500</v>
      </c>
      <c r="I38" s="23"/>
      <c r="J38" s="9"/>
      <c r="L38" s="29"/>
      <c r="M38" s="4" t="s">
        <v>4</v>
      </c>
      <c r="N38" s="5" t="s">
        <v>156</v>
      </c>
      <c r="O38" s="5" t="s">
        <v>51</v>
      </c>
      <c r="P38" s="6"/>
      <c r="Q38" s="63"/>
      <c r="R38" s="4" t="s">
        <v>4</v>
      </c>
      <c r="S38" s="2">
        <v>3000</v>
      </c>
      <c r="T38" s="23"/>
      <c r="U38" s="9"/>
      <c r="X38">
        <f>O50</f>
        <v>230000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6"/>
      <c r="R39" s="4" t="s">
        <v>5</v>
      </c>
      <c r="S39" s="2"/>
      <c r="T39" s="23"/>
      <c r="U39" s="9"/>
      <c r="X39">
        <f>S50</f>
        <v>295500</v>
      </c>
    </row>
    <row r="40" spans="1:24" x14ac:dyDescent="0.4">
      <c r="A40" s="29">
        <f t="shared" ref="A40" si="44">A37+1</f>
        <v>45821</v>
      </c>
      <c r="B40" s="4" t="s">
        <v>3</v>
      </c>
      <c r="C40" s="5" t="s">
        <v>100</v>
      </c>
      <c r="D40" s="5" t="s">
        <v>51</v>
      </c>
      <c r="E40" s="6"/>
      <c r="F40" s="23">
        <v>9000</v>
      </c>
      <c r="G40" s="4" t="s">
        <v>3</v>
      </c>
      <c r="H40" s="2">
        <v>6500</v>
      </c>
      <c r="I40" s="23">
        <f>F40+H40+H41+H42</f>
        <v>20000</v>
      </c>
      <c r="J40" s="9"/>
      <c r="L40" s="29">
        <f t="shared" ref="L40" si="45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6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156</v>
      </c>
      <c r="D41" s="5" t="s">
        <v>19</v>
      </c>
      <c r="E41" s="6"/>
      <c r="F41" s="23"/>
      <c r="G41" s="4" t="s">
        <v>4</v>
      </c>
      <c r="H41" s="2">
        <v>4500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20000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7">A40+1</f>
        <v>45822</v>
      </c>
      <c r="B43" s="4" t="s">
        <v>3</v>
      </c>
      <c r="C43" s="5" t="s">
        <v>81</v>
      </c>
      <c r="D43" s="5" t="s">
        <v>51</v>
      </c>
      <c r="E43" s="6"/>
      <c r="F43" s="23">
        <v>9000</v>
      </c>
      <c r="G43" s="4" t="s">
        <v>3</v>
      </c>
      <c r="H43" s="2">
        <v>4500</v>
      </c>
      <c r="I43" s="23">
        <f t="shared" ref="I43" si="48">F43+H43+H44+H45</f>
        <v>25500</v>
      </c>
      <c r="J43" s="9"/>
      <c r="L43" s="29">
        <f t="shared" ref="L43" si="49">L40+1</f>
        <v>45838</v>
      </c>
      <c r="M43" s="4" t="s">
        <v>3</v>
      </c>
      <c r="N43" s="5" t="s">
        <v>96</v>
      </c>
      <c r="O43" s="5" t="s">
        <v>51</v>
      </c>
      <c r="P43" s="6"/>
      <c r="Q43" s="62">
        <v>9000</v>
      </c>
      <c r="R43" s="4" t="s">
        <v>3</v>
      </c>
      <c r="S43" s="2">
        <v>3000</v>
      </c>
      <c r="T43" s="23">
        <f t="shared" ref="T43" si="50">Q43+S43+S44+S45</f>
        <v>21000</v>
      </c>
      <c r="U43" s="9"/>
    </row>
    <row r="44" spans="1:24" x14ac:dyDescent="0.4">
      <c r="A44" s="29"/>
      <c r="B44" s="4" t="s">
        <v>4</v>
      </c>
      <c r="C44" s="5" t="s">
        <v>157</v>
      </c>
      <c r="D44" s="5" t="s">
        <v>51</v>
      </c>
      <c r="E44" s="6"/>
      <c r="F44" s="23"/>
      <c r="G44" s="4" t="s">
        <v>4</v>
      </c>
      <c r="H44" s="2">
        <v>7500</v>
      </c>
      <c r="I44" s="23"/>
      <c r="J44" s="9" t="s">
        <v>158</v>
      </c>
      <c r="L44" s="29"/>
      <c r="M44" s="4" t="s">
        <v>4</v>
      </c>
      <c r="N44" s="5" t="s">
        <v>180</v>
      </c>
      <c r="O44" s="5" t="s">
        <v>51</v>
      </c>
      <c r="P44" s="6"/>
      <c r="Q44" s="63"/>
      <c r="R44" s="4" t="s">
        <v>4</v>
      </c>
      <c r="S44" s="2">
        <v>9000</v>
      </c>
      <c r="T44" s="23"/>
      <c r="U44" s="9"/>
    </row>
    <row r="45" spans="1:24" x14ac:dyDescent="0.4">
      <c r="A45" s="29"/>
      <c r="B45" s="4" t="s">
        <v>5</v>
      </c>
      <c r="C45" s="5" t="s">
        <v>159</v>
      </c>
      <c r="D45" s="5" t="s">
        <v>51</v>
      </c>
      <c r="E45" s="6"/>
      <c r="F45" s="23"/>
      <c r="G45" s="4" t="s">
        <v>5</v>
      </c>
      <c r="H45" s="2">
        <v>4500</v>
      </c>
      <c r="I45" s="23"/>
      <c r="J45" s="9"/>
      <c r="L45" s="29"/>
      <c r="M45" s="4" t="s">
        <v>5</v>
      </c>
      <c r="N45" s="5"/>
      <c r="O45" s="5" t="s">
        <v>51</v>
      </c>
      <c r="P45" s="6"/>
      <c r="Q45" s="26"/>
      <c r="R45" s="4" t="s">
        <v>5</v>
      </c>
      <c r="S45" s="2"/>
      <c r="T45" s="23"/>
      <c r="U45" s="9"/>
    </row>
    <row r="46" spans="1:24" x14ac:dyDescent="0.4">
      <c r="A46" s="29">
        <f t="shared" ref="A46" si="51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2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3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4">A46+1</f>
        <v>45824</v>
      </c>
      <c r="B49" s="4" t="s">
        <v>3</v>
      </c>
      <c r="C49" s="5" t="s">
        <v>160</v>
      </c>
      <c r="D49" s="5" t="s">
        <v>51</v>
      </c>
      <c r="E49" s="6"/>
      <c r="F49" s="23">
        <v>9000</v>
      </c>
      <c r="G49" s="4" t="s">
        <v>3</v>
      </c>
      <c r="H49" s="2">
        <v>3000</v>
      </c>
      <c r="I49" s="23">
        <f t="shared" ref="I49" si="55">F49+H49+H50+H51</f>
        <v>19500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79</v>
      </c>
      <c r="D50" s="5" t="s">
        <v>51</v>
      </c>
      <c r="E50" s="6"/>
      <c r="F50" s="23"/>
      <c r="G50" s="4" t="s">
        <v>4</v>
      </c>
      <c r="H50" s="2">
        <v>3000</v>
      </c>
      <c r="I50" s="23"/>
      <c r="J50" s="9"/>
      <c r="L50" s="27">
        <f>W7</f>
        <v>25</v>
      </c>
      <c r="M50" s="28" t="s">
        <v>12</v>
      </c>
      <c r="N50" s="23">
        <f>MAX((L50-21)*5000,0)</f>
        <v>20000</v>
      </c>
      <c r="O50" s="31">
        <f>SUM(F4:F51,Q4:Q48)</f>
        <v>230000</v>
      </c>
      <c r="P50" s="31"/>
      <c r="Q50" s="31"/>
      <c r="R50" s="31"/>
      <c r="S50" s="23">
        <f>SUM(H4:H51,S4:S48)</f>
        <v>295500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 t="s">
        <v>161</v>
      </c>
      <c r="D51" s="16" t="s">
        <v>19</v>
      </c>
      <c r="E51" s="12"/>
      <c r="F51" s="24"/>
      <c r="G51" s="15" t="s">
        <v>5</v>
      </c>
      <c r="H51" s="11">
        <v>4500</v>
      </c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39</v>
      </c>
      <c r="I53" s="23"/>
      <c r="J53" s="41">
        <v>45901</v>
      </c>
      <c r="L53" s="56" t="s">
        <v>31</v>
      </c>
      <c r="M53" s="57"/>
      <c r="N53" s="57"/>
      <c r="O53" s="57"/>
      <c r="P53" s="19"/>
      <c r="Q53" s="31">
        <v>20000</v>
      </c>
      <c r="R53" s="31"/>
      <c r="S53" s="23">
        <v>30000</v>
      </c>
      <c r="T53" s="23"/>
      <c r="U53" s="39">
        <f>SUM(X37:X42)</f>
        <v>605500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" xr:uid="{118E163D-83E5-4098-8C02-FD4CB56047FE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B096-5CD2-4941-AA08-F62C20FA0432}">
  <sheetPr>
    <pageSetUpPr fitToPage="1"/>
  </sheetPr>
  <dimension ref="A1:X59"/>
  <sheetViews>
    <sheetView topLeftCell="A3" workbookViewId="0">
      <selection activeCell="C12" sqref="C12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/>
      <c r="O4" s="5"/>
      <c r="P4" s="6"/>
      <c r="Q4" s="23">
        <v>9000</v>
      </c>
      <c r="R4" s="4" t="s">
        <v>3</v>
      </c>
      <c r="S4" s="2"/>
      <c r="T4" s="23">
        <f t="shared" ref="T4" si="0">Q4+S4+S5+S6</f>
        <v>20500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199</v>
      </c>
      <c r="O5" s="5" t="s">
        <v>51</v>
      </c>
      <c r="P5" s="6"/>
      <c r="Q5" s="23"/>
      <c r="R5" s="4" t="s">
        <v>4</v>
      </c>
      <c r="S5" s="2">
        <v>11500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181</v>
      </c>
      <c r="D7" s="5" t="s">
        <v>51</v>
      </c>
      <c r="E7" s="6"/>
      <c r="F7" s="23">
        <v>9000</v>
      </c>
      <c r="G7" s="4" t="s">
        <v>3</v>
      </c>
      <c r="H7" s="2">
        <v>7500</v>
      </c>
      <c r="I7" s="23">
        <f t="shared" ref="I7" si="1">F7+H7+H8+H9</f>
        <v>29500</v>
      </c>
      <c r="J7" s="9" t="s">
        <v>91</v>
      </c>
      <c r="L7" s="29">
        <f>L4+1</f>
        <v>45826</v>
      </c>
      <c r="M7" s="4" t="s">
        <v>3</v>
      </c>
      <c r="N7" s="5"/>
      <c r="O7" s="5"/>
      <c r="P7" s="6"/>
      <c r="Q7" s="23">
        <v>9000</v>
      </c>
      <c r="R7" s="4" t="s">
        <v>3</v>
      </c>
      <c r="S7" s="2"/>
      <c r="T7" s="23">
        <f t="shared" ref="T7" si="2">Q7+S7+S8+S9</f>
        <v>20500</v>
      </c>
      <c r="U7" s="9"/>
      <c r="W7">
        <f>COUNT(F4:F51,Q4:Q48)</f>
        <v>23</v>
      </c>
    </row>
    <row r="8" spans="1:23" x14ac:dyDescent="0.4">
      <c r="A8" s="29"/>
      <c r="B8" s="4" t="s">
        <v>4</v>
      </c>
      <c r="C8" s="5" t="s">
        <v>100</v>
      </c>
      <c r="D8" s="5" t="s">
        <v>51</v>
      </c>
      <c r="E8" s="6"/>
      <c r="F8" s="23"/>
      <c r="G8" s="4" t="s">
        <v>4</v>
      </c>
      <c r="H8" s="2">
        <v>6500</v>
      </c>
      <c r="I8" s="23"/>
      <c r="J8" s="9"/>
      <c r="L8" s="29"/>
      <c r="M8" s="4" t="s">
        <v>4</v>
      </c>
      <c r="N8" s="5" t="s">
        <v>199</v>
      </c>
      <c r="O8" s="5" t="s">
        <v>51</v>
      </c>
      <c r="P8" s="6"/>
      <c r="Q8" s="23"/>
      <c r="R8" s="4" t="s">
        <v>4</v>
      </c>
      <c r="S8" s="2">
        <v>11500</v>
      </c>
      <c r="T8" s="23"/>
      <c r="U8" s="9"/>
    </row>
    <row r="9" spans="1:23" x14ac:dyDescent="0.4">
      <c r="A9" s="29"/>
      <c r="B9" s="4" t="s">
        <v>5</v>
      </c>
      <c r="C9" s="5" t="s">
        <v>182</v>
      </c>
      <c r="D9" s="5" t="s">
        <v>51</v>
      </c>
      <c r="E9" s="6"/>
      <c r="F9" s="23"/>
      <c r="G9" s="4" t="s">
        <v>5</v>
      </c>
      <c r="H9" s="2">
        <v>6500</v>
      </c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3">A7+1</f>
        <v>45811</v>
      </c>
      <c r="B10" s="4" t="s">
        <v>3</v>
      </c>
      <c r="C10" s="5" t="s">
        <v>78</v>
      </c>
      <c r="D10" s="5" t="s">
        <v>51</v>
      </c>
      <c r="E10" s="6"/>
      <c r="F10" s="23">
        <v>9000</v>
      </c>
      <c r="G10" s="4" t="s">
        <v>3</v>
      </c>
      <c r="H10" s="2">
        <v>6500</v>
      </c>
      <c r="I10" s="23">
        <f t="shared" ref="I10" si="4">F10+H10+H11+H12</f>
        <v>20000</v>
      </c>
      <c r="J10" s="9"/>
      <c r="L10" s="29">
        <f t="shared" ref="L10" si="5">L7+1</f>
        <v>45827</v>
      </c>
      <c r="M10" s="4" t="s">
        <v>3</v>
      </c>
      <c r="N10" s="5"/>
      <c r="O10" s="5"/>
      <c r="P10" s="6"/>
      <c r="Q10" s="23">
        <v>9000</v>
      </c>
      <c r="R10" s="4" t="s">
        <v>3</v>
      </c>
      <c r="S10" s="2"/>
      <c r="T10" s="23">
        <f t="shared" ref="T10" si="6">Q10+S10+S11+S12</f>
        <v>20500</v>
      </c>
      <c r="U10" s="9"/>
    </row>
    <row r="11" spans="1:23" x14ac:dyDescent="0.4">
      <c r="A11" s="29"/>
      <c r="B11" s="4" t="s">
        <v>4</v>
      </c>
      <c r="C11" s="5" t="s">
        <v>79</v>
      </c>
      <c r="D11" s="5" t="s">
        <v>51</v>
      </c>
      <c r="E11" s="6"/>
      <c r="F11" s="23"/>
      <c r="G11" s="4" t="s">
        <v>4</v>
      </c>
      <c r="H11" s="2">
        <v>4500</v>
      </c>
      <c r="I11" s="23"/>
      <c r="J11" s="9"/>
      <c r="L11" s="29"/>
      <c r="M11" s="4" t="s">
        <v>4</v>
      </c>
      <c r="N11" s="5" t="s">
        <v>199</v>
      </c>
      <c r="O11" s="5" t="s">
        <v>51</v>
      </c>
      <c r="P11" s="6"/>
      <c r="Q11" s="23"/>
      <c r="R11" s="4" t="s">
        <v>4</v>
      </c>
      <c r="S11" s="2">
        <v>11500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7">A10+1</f>
        <v>45812</v>
      </c>
      <c r="B13" s="4" t="s">
        <v>3</v>
      </c>
      <c r="C13" s="5" t="s">
        <v>126</v>
      </c>
      <c r="D13" s="5" t="s">
        <v>51</v>
      </c>
      <c r="E13" s="6"/>
      <c r="F13" s="23">
        <v>9000</v>
      </c>
      <c r="G13" s="4" t="s">
        <v>3</v>
      </c>
      <c r="H13" s="2">
        <v>6500</v>
      </c>
      <c r="I13" s="23">
        <f t="shared" ref="I13" si="8">F13+H13+H14+H15</f>
        <v>22000</v>
      </c>
      <c r="J13" s="9"/>
      <c r="L13" s="29">
        <f t="shared" ref="L13" si="9">L10+1</f>
        <v>45828</v>
      </c>
      <c r="M13" s="4" t="s">
        <v>3</v>
      </c>
      <c r="N13" s="5"/>
      <c r="O13" s="5"/>
      <c r="P13" s="6"/>
      <c r="Q13" s="23">
        <v>9000</v>
      </c>
      <c r="R13" s="4" t="s">
        <v>3</v>
      </c>
      <c r="S13" s="2"/>
      <c r="T13" s="23">
        <f t="shared" ref="T13" si="10">Q13+S13+S14+S15</f>
        <v>20500</v>
      </c>
      <c r="U13" s="9"/>
    </row>
    <row r="14" spans="1:23" x14ac:dyDescent="0.4">
      <c r="A14" s="29"/>
      <c r="B14" s="4" t="s">
        <v>4</v>
      </c>
      <c r="C14" s="5" t="s">
        <v>183</v>
      </c>
      <c r="D14" s="5" t="s">
        <v>51</v>
      </c>
      <c r="E14" s="6"/>
      <c r="F14" s="23"/>
      <c r="G14" s="4" t="s">
        <v>4</v>
      </c>
      <c r="H14" s="2">
        <v>6500</v>
      </c>
      <c r="I14" s="23"/>
      <c r="J14" s="9"/>
      <c r="L14" s="29"/>
      <c r="M14" s="4" t="s">
        <v>4</v>
      </c>
      <c r="N14" s="5" t="s">
        <v>199</v>
      </c>
      <c r="O14" s="5" t="s">
        <v>51</v>
      </c>
      <c r="P14" s="6"/>
      <c r="Q14" s="23"/>
      <c r="R14" s="4" t="s">
        <v>4</v>
      </c>
      <c r="S14" s="2">
        <v>11500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1">A13+1</f>
        <v>45813</v>
      </c>
      <c r="B16" s="4" t="s">
        <v>3</v>
      </c>
      <c r="C16" s="5" t="s">
        <v>184</v>
      </c>
      <c r="D16" s="5" t="s">
        <v>51</v>
      </c>
      <c r="E16" s="6"/>
      <c r="F16" s="23">
        <v>9000</v>
      </c>
      <c r="G16" s="4" t="s">
        <v>3</v>
      </c>
      <c r="H16" s="2">
        <v>2500</v>
      </c>
      <c r="I16" s="23">
        <f t="shared" ref="I16" si="12">F16+H16+H17+H18</f>
        <v>23000</v>
      </c>
      <c r="J16" s="9"/>
      <c r="L16" s="29">
        <f t="shared" ref="L16" si="13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4">Q16+S16+S17+S18</f>
        <v>0</v>
      </c>
      <c r="U16" s="9"/>
    </row>
    <row r="17" spans="1:21" x14ac:dyDescent="0.4">
      <c r="A17" s="29"/>
      <c r="B17" s="4" t="s">
        <v>4</v>
      </c>
      <c r="C17" s="5" t="s">
        <v>185</v>
      </c>
      <c r="D17" s="5" t="s">
        <v>84</v>
      </c>
      <c r="E17" s="6"/>
      <c r="F17" s="23"/>
      <c r="G17" s="4" t="s">
        <v>4</v>
      </c>
      <c r="H17" s="2">
        <v>11500</v>
      </c>
      <c r="I17" s="23"/>
      <c r="J17" s="9"/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45814</v>
      </c>
      <c r="B19" s="4" t="s">
        <v>3</v>
      </c>
      <c r="C19" s="5" t="s">
        <v>186</v>
      </c>
      <c r="D19" s="5" t="s">
        <v>51</v>
      </c>
      <c r="E19" s="6"/>
      <c r="F19" s="23">
        <v>9000</v>
      </c>
      <c r="G19" s="4" t="s">
        <v>3</v>
      </c>
      <c r="H19" s="2">
        <v>6500</v>
      </c>
      <c r="I19" s="23">
        <f t="shared" ref="I19" si="16">F19+H19+H20+H21</f>
        <v>20000</v>
      </c>
      <c r="J19" s="9"/>
      <c r="L19" s="29">
        <f t="shared" ref="L19" si="17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8">Q19+S19+S20+S21</f>
        <v>0</v>
      </c>
      <c r="U19" s="9"/>
    </row>
    <row r="20" spans="1:21" x14ac:dyDescent="0.4">
      <c r="A20" s="29"/>
      <c r="B20" s="4" t="s">
        <v>4</v>
      </c>
      <c r="C20" s="5" t="s">
        <v>107</v>
      </c>
      <c r="D20" s="5" t="s">
        <v>51</v>
      </c>
      <c r="E20" s="6"/>
      <c r="F20" s="23"/>
      <c r="G20" s="4" t="s">
        <v>4</v>
      </c>
      <c r="H20" s="2">
        <v>4500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20">F22+H22+H23+H24</f>
        <v>0</v>
      </c>
      <c r="J22" s="9"/>
      <c r="L22" s="29">
        <f t="shared" ref="L22" si="21">L19+1</f>
        <v>45831</v>
      </c>
      <c r="M22" s="4" t="s">
        <v>3</v>
      </c>
      <c r="N22" s="5" t="s">
        <v>115</v>
      </c>
      <c r="O22" s="5" t="s">
        <v>19</v>
      </c>
      <c r="P22" s="6"/>
      <c r="Q22" s="23">
        <v>9000</v>
      </c>
      <c r="R22" s="4" t="s">
        <v>3</v>
      </c>
      <c r="S22" s="2">
        <v>3000</v>
      </c>
      <c r="T22" s="23">
        <f t="shared" ref="T22" si="22">Q22+S22+S23+S24</f>
        <v>21000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95</v>
      </c>
      <c r="O23" s="5" t="s">
        <v>19</v>
      </c>
      <c r="P23" s="6"/>
      <c r="Q23" s="23"/>
      <c r="R23" s="4" t="s">
        <v>4</v>
      </c>
      <c r="S23" s="2">
        <v>9000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3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4">F25+H25+H26+H27</f>
        <v>0</v>
      </c>
      <c r="J25" s="9"/>
      <c r="L25" s="29">
        <f t="shared" ref="L25" si="25">L22+1</f>
        <v>45832</v>
      </c>
      <c r="M25" s="4" t="s">
        <v>3</v>
      </c>
      <c r="N25" s="5" t="s">
        <v>115</v>
      </c>
      <c r="O25" s="5" t="s">
        <v>19</v>
      </c>
      <c r="P25" s="6"/>
      <c r="Q25" s="23">
        <v>9000</v>
      </c>
      <c r="R25" s="4" t="s">
        <v>3</v>
      </c>
      <c r="S25" s="2">
        <v>3000</v>
      </c>
      <c r="T25" s="23">
        <f t="shared" ref="T25" si="26">Q25+S25+S26+S27</f>
        <v>21000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95</v>
      </c>
      <c r="O26" s="5" t="s">
        <v>19</v>
      </c>
      <c r="P26" s="6"/>
      <c r="Q26" s="23"/>
      <c r="R26" s="4" t="s">
        <v>4</v>
      </c>
      <c r="S26" s="2">
        <v>9000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7">A25+1</f>
        <v>45817</v>
      </c>
      <c r="B28" s="4" t="s">
        <v>3</v>
      </c>
      <c r="C28" s="5" t="s">
        <v>187</v>
      </c>
      <c r="D28" s="5" t="s">
        <v>51</v>
      </c>
      <c r="E28" s="6"/>
      <c r="F28" s="23">
        <v>9000</v>
      </c>
      <c r="G28" s="4" t="s">
        <v>3</v>
      </c>
      <c r="H28" s="2">
        <v>4000</v>
      </c>
      <c r="I28" s="23">
        <f t="shared" ref="I28" si="28">F28+H28+H29+H30</f>
        <v>19500</v>
      </c>
      <c r="J28" s="9"/>
      <c r="L28" s="29">
        <f t="shared" ref="L28" si="29">L25+1</f>
        <v>45833</v>
      </c>
      <c r="M28" s="4" t="s">
        <v>3</v>
      </c>
      <c r="N28" s="5" t="s">
        <v>200</v>
      </c>
      <c r="O28" s="5" t="s">
        <v>19</v>
      </c>
      <c r="P28" s="6"/>
      <c r="Q28" s="23">
        <v>9000</v>
      </c>
      <c r="R28" s="4" t="s">
        <v>3</v>
      </c>
      <c r="S28" s="2">
        <v>3000</v>
      </c>
      <c r="T28" s="23">
        <f t="shared" ref="T28" si="30">Q28+S28+S29+S30</f>
        <v>21000</v>
      </c>
      <c r="U28" s="9"/>
    </row>
    <row r="29" spans="1:21" x14ac:dyDescent="0.4">
      <c r="A29" s="29"/>
      <c r="B29" s="4" t="s">
        <v>4</v>
      </c>
      <c r="C29" s="5" t="s">
        <v>59</v>
      </c>
      <c r="D29" s="5" t="s">
        <v>51</v>
      </c>
      <c r="E29" s="6"/>
      <c r="F29" s="23"/>
      <c r="G29" s="4" t="s">
        <v>4</v>
      </c>
      <c r="H29" s="2">
        <v>6500</v>
      </c>
      <c r="I29" s="23"/>
      <c r="J29" s="9"/>
      <c r="L29" s="29"/>
      <c r="M29" s="4" t="s">
        <v>4</v>
      </c>
      <c r="N29" s="5" t="s">
        <v>95</v>
      </c>
      <c r="O29" s="5" t="s">
        <v>19</v>
      </c>
      <c r="P29" s="6"/>
      <c r="Q29" s="23"/>
      <c r="R29" s="4" t="s">
        <v>4</v>
      </c>
      <c r="S29" s="2">
        <v>9000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45818</v>
      </c>
      <c r="B31" s="4" t="s">
        <v>3</v>
      </c>
      <c r="C31" s="5" t="s">
        <v>188</v>
      </c>
      <c r="D31" s="5" t="s">
        <v>51</v>
      </c>
      <c r="E31" s="6"/>
      <c r="F31" s="23">
        <v>9000</v>
      </c>
      <c r="G31" s="4" t="s">
        <v>3</v>
      </c>
      <c r="H31" s="2">
        <v>6500</v>
      </c>
      <c r="I31" s="23">
        <f t="shared" ref="I31" si="32">F31+H31+H32+H33</f>
        <v>20000</v>
      </c>
      <c r="J31" s="9"/>
      <c r="L31" s="29">
        <f t="shared" ref="L31" si="33">L28+1</f>
        <v>45834</v>
      </c>
      <c r="M31" s="4" t="s">
        <v>3</v>
      </c>
      <c r="N31" s="5" t="s">
        <v>201</v>
      </c>
      <c r="O31" s="5" t="s">
        <v>19</v>
      </c>
      <c r="P31" s="6"/>
      <c r="Q31" s="23">
        <v>9000</v>
      </c>
      <c r="R31" s="4" t="s">
        <v>3</v>
      </c>
      <c r="S31" s="2">
        <v>3000</v>
      </c>
      <c r="T31" s="23">
        <f t="shared" ref="T31" si="34">Q31+S31+S32+S33</f>
        <v>21000</v>
      </c>
      <c r="U31" s="9"/>
    </row>
    <row r="32" spans="1:21" x14ac:dyDescent="0.4">
      <c r="A32" s="29"/>
      <c r="B32" s="4" t="s">
        <v>4</v>
      </c>
      <c r="C32" s="5" t="s">
        <v>189</v>
      </c>
      <c r="D32" s="5" t="s">
        <v>51</v>
      </c>
      <c r="E32" s="6"/>
      <c r="F32" s="23"/>
      <c r="G32" s="4" t="s">
        <v>4</v>
      </c>
      <c r="H32" s="2">
        <v>4500</v>
      </c>
      <c r="I32" s="23"/>
      <c r="J32" s="9"/>
      <c r="L32" s="29"/>
      <c r="M32" s="4" t="s">
        <v>4</v>
      </c>
      <c r="N32" s="5" t="s">
        <v>95</v>
      </c>
      <c r="O32" s="5" t="s">
        <v>19</v>
      </c>
      <c r="P32" s="6"/>
      <c r="Q32" s="23"/>
      <c r="R32" s="4" t="s">
        <v>4</v>
      </c>
      <c r="S32" s="2">
        <v>9000</v>
      </c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5">A31+1</f>
        <v>45819</v>
      </c>
      <c r="B34" s="4" t="s">
        <v>3</v>
      </c>
      <c r="C34" s="5" t="s">
        <v>190</v>
      </c>
      <c r="D34" s="5" t="s">
        <v>19</v>
      </c>
      <c r="E34" s="6"/>
      <c r="F34" s="62">
        <v>9000</v>
      </c>
      <c r="G34" s="4" t="s">
        <v>3</v>
      </c>
      <c r="H34" s="2">
        <v>2000</v>
      </c>
      <c r="I34" s="23">
        <f t="shared" ref="I34" si="36">F34+H34+H35+H36</f>
        <v>20500</v>
      </c>
      <c r="J34" s="9"/>
      <c r="L34" s="29">
        <f t="shared" ref="L34" si="37">L31+1</f>
        <v>45835</v>
      </c>
      <c r="M34" s="4" t="s">
        <v>3</v>
      </c>
      <c r="N34" s="5" t="s">
        <v>201</v>
      </c>
      <c r="O34" s="5" t="s">
        <v>19</v>
      </c>
      <c r="P34" s="6"/>
      <c r="Q34" s="23">
        <v>9000</v>
      </c>
      <c r="R34" s="4" t="s">
        <v>3</v>
      </c>
      <c r="S34" s="2">
        <v>3000</v>
      </c>
      <c r="T34" s="23">
        <f t="shared" ref="T34" si="38">Q34+S34+S35+S36</f>
        <v>21000</v>
      </c>
      <c r="U34" s="9"/>
    </row>
    <row r="35" spans="1:24" x14ac:dyDescent="0.4">
      <c r="A35" s="29"/>
      <c r="B35" s="4" t="s">
        <v>4</v>
      </c>
      <c r="C35" s="5" t="s">
        <v>191</v>
      </c>
      <c r="D35" s="5" t="s">
        <v>19</v>
      </c>
      <c r="E35" s="6"/>
      <c r="F35" s="63"/>
      <c r="G35" s="4" t="s">
        <v>4</v>
      </c>
      <c r="H35" s="2">
        <v>3000</v>
      </c>
      <c r="I35" s="23"/>
      <c r="J35" s="9"/>
      <c r="L35" s="29"/>
      <c r="M35" s="4" t="s">
        <v>4</v>
      </c>
      <c r="N35" s="5" t="s">
        <v>95</v>
      </c>
      <c r="O35" s="5" t="s">
        <v>19</v>
      </c>
      <c r="P35" s="6"/>
      <c r="Q35" s="23"/>
      <c r="R35" s="4" t="s">
        <v>4</v>
      </c>
      <c r="S35" s="2">
        <v>9000</v>
      </c>
      <c r="T35" s="23"/>
      <c r="U35" s="9"/>
    </row>
    <row r="36" spans="1:24" x14ac:dyDescent="0.4">
      <c r="A36" s="29"/>
      <c r="B36" s="4" t="s">
        <v>5</v>
      </c>
      <c r="C36" s="5" t="s">
        <v>59</v>
      </c>
      <c r="D36" s="5" t="s">
        <v>51</v>
      </c>
      <c r="E36" s="6"/>
      <c r="F36" s="26"/>
      <c r="G36" s="4" t="s">
        <v>5</v>
      </c>
      <c r="H36" s="2">
        <v>6500</v>
      </c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45820</v>
      </c>
      <c r="B37" s="4" t="s">
        <v>3</v>
      </c>
      <c r="C37" s="5" t="s">
        <v>100</v>
      </c>
      <c r="D37" s="5" t="s">
        <v>51</v>
      </c>
      <c r="E37" s="6"/>
      <c r="F37" s="23">
        <v>9000</v>
      </c>
      <c r="G37" s="4" t="s">
        <v>3</v>
      </c>
      <c r="H37" s="2">
        <v>6500</v>
      </c>
      <c r="I37" s="23">
        <f t="shared" ref="I37" si="40">F37+H37+H38+H39</f>
        <v>20000</v>
      </c>
      <c r="J37" s="9"/>
      <c r="L37" s="29">
        <f t="shared" ref="L37" si="41">L34+1</f>
        <v>45836</v>
      </c>
      <c r="M37" s="4" t="s">
        <v>3</v>
      </c>
      <c r="N37" s="5"/>
      <c r="O37" s="5"/>
      <c r="P37" s="6"/>
      <c r="Q37" s="62"/>
      <c r="R37" s="4" t="s">
        <v>3</v>
      </c>
      <c r="S37" s="2"/>
      <c r="T37" s="62">
        <f t="shared" ref="T37" si="42">Q37+S37+S38+S39</f>
        <v>0</v>
      </c>
      <c r="U37" s="9"/>
      <c r="X37">
        <f>N50</f>
        <v>10000</v>
      </c>
    </row>
    <row r="38" spans="1:24" x14ac:dyDescent="0.4">
      <c r="A38" s="29"/>
      <c r="B38" s="4" t="s">
        <v>4</v>
      </c>
      <c r="C38" s="5" t="s">
        <v>173</v>
      </c>
      <c r="D38" s="5" t="s">
        <v>19</v>
      </c>
      <c r="E38" s="6"/>
      <c r="F38" s="23"/>
      <c r="G38" s="4" t="s">
        <v>4</v>
      </c>
      <c r="H38" s="2">
        <v>4500</v>
      </c>
      <c r="I38" s="23"/>
      <c r="J38" s="9"/>
      <c r="L38" s="29"/>
      <c r="M38" s="4" t="s">
        <v>4</v>
      </c>
      <c r="N38" s="5" t="s">
        <v>48</v>
      </c>
      <c r="O38" s="5"/>
      <c r="P38" s="6"/>
      <c r="Q38" s="63"/>
      <c r="R38" s="4" t="s">
        <v>4</v>
      </c>
      <c r="S38" s="2"/>
      <c r="T38" s="63"/>
      <c r="U38" s="9"/>
      <c r="X38">
        <f>O50</f>
        <v>212000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6"/>
      <c r="R39" s="4" t="s">
        <v>5</v>
      </c>
      <c r="S39" s="2"/>
      <c r="T39" s="26"/>
      <c r="U39" s="9"/>
      <c r="X39">
        <f>S50</f>
        <v>278000</v>
      </c>
    </row>
    <row r="40" spans="1:24" x14ac:dyDescent="0.4">
      <c r="A40" s="29">
        <f t="shared" ref="A40" si="43">A37+1</f>
        <v>45821</v>
      </c>
      <c r="B40" s="4" t="s">
        <v>3</v>
      </c>
      <c r="C40" s="5" t="s">
        <v>193</v>
      </c>
      <c r="D40" s="5" t="s">
        <v>51</v>
      </c>
      <c r="E40" s="6"/>
      <c r="F40" s="23">
        <v>9000</v>
      </c>
      <c r="G40" s="4" t="s">
        <v>3</v>
      </c>
      <c r="H40" s="2">
        <v>3000</v>
      </c>
      <c r="I40" s="23">
        <f>F40+H40+H41+H42</f>
        <v>27500</v>
      </c>
      <c r="J40" s="9"/>
      <c r="L40" s="29">
        <f t="shared" ref="L40" si="44">L37+1</f>
        <v>45837</v>
      </c>
      <c r="M40" s="4" t="s">
        <v>3</v>
      </c>
      <c r="N40" s="5" t="s">
        <v>200</v>
      </c>
      <c r="O40" s="5" t="s">
        <v>19</v>
      </c>
      <c r="P40" s="6"/>
      <c r="Q40" s="64">
        <v>14000</v>
      </c>
      <c r="R40" s="4" t="s">
        <v>3</v>
      </c>
      <c r="S40" s="2">
        <v>3000</v>
      </c>
      <c r="T40" s="23">
        <f t="shared" ref="T40" si="45">Q40+S40+S41+S42</f>
        <v>26000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194</v>
      </c>
      <c r="D41" s="5" t="s">
        <v>51</v>
      </c>
      <c r="E41" s="6"/>
      <c r="F41" s="23"/>
      <c r="G41" s="4" t="s">
        <v>4</v>
      </c>
      <c r="H41" s="2">
        <v>4000</v>
      </c>
      <c r="I41" s="23"/>
      <c r="J41" s="9"/>
      <c r="L41" s="29"/>
      <c r="M41" s="4" t="s">
        <v>4</v>
      </c>
      <c r="N41" s="5" t="s">
        <v>95</v>
      </c>
      <c r="O41" s="5" t="s">
        <v>19</v>
      </c>
      <c r="P41" s="6"/>
      <c r="Q41" s="64"/>
      <c r="R41" s="4" t="s">
        <v>4</v>
      </c>
      <c r="S41" s="2">
        <v>9000</v>
      </c>
      <c r="T41" s="23"/>
      <c r="U41" s="9"/>
      <c r="X41">
        <f>Q53</f>
        <v>15000</v>
      </c>
    </row>
    <row r="42" spans="1:24" x14ac:dyDescent="0.4">
      <c r="A42" s="29"/>
      <c r="B42" s="4" t="s">
        <v>5</v>
      </c>
      <c r="C42" s="5" t="s">
        <v>195</v>
      </c>
      <c r="D42" s="5" t="s">
        <v>84</v>
      </c>
      <c r="E42" s="6"/>
      <c r="F42" s="23"/>
      <c r="G42" s="4" t="s">
        <v>5</v>
      </c>
      <c r="H42" s="2">
        <v>11500</v>
      </c>
      <c r="I42" s="23"/>
      <c r="J42" s="9" t="s">
        <v>154</v>
      </c>
      <c r="L42" s="29"/>
      <c r="M42" s="4" t="s">
        <v>5</v>
      </c>
      <c r="N42" s="5"/>
      <c r="O42" s="5"/>
      <c r="P42" s="6"/>
      <c r="Q42" s="64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6">A40+1</f>
        <v>45822</v>
      </c>
      <c r="B43" s="4" t="s">
        <v>3</v>
      </c>
      <c r="C43" s="5" t="s">
        <v>196</v>
      </c>
      <c r="D43" s="5" t="s">
        <v>51</v>
      </c>
      <c r="E43" s="6"/>
      <c r="F43" s="23">
        <v>9000</v>
      </c>
      <c r="G43" s="4" t="s">
        <v>3</v>
      </c>
      <c r="H43" s="2">
        <v>6500</v>
      </c>
      <c r="I43" s="23">
        <f t="shared" ref="I43" si="47">F43+H43+H44+H45</f>
        <v>15500</v>
      </c>
      <c r="J43" s="9"/>
      <c r="L43" s="29">
        <f t="shared" ref="L43" si="48">L40+1</f>
        <v>45838</v>
      </c>
      <c r="M43" s="4" t="s">
        <v>3</v>
      </c>
      <c r="N43" s="5" t="s">
        <v>203</v>
      </c>
      <c r="O43" s="5" t="s">
        <v>51</v>
      </c>
      <c r="P43" s="6"/>
      <c r="Q43" s="23">
        <v>9000</v>
      </c>
      <c r="R43" s="4" t="s">
        <v>3</v>
      </c>
      <c r="S43" s="2">
        <v>5000</v>
      </c>
      <c r="T43" s="23">
        <f t="shared" ref="T43" si="49">Q43+S43+S44+S45</f>
        <v>23000</v>
      </c>
      <c r="U43" s="9" t="s">
        <v>172</v>
      </c>
    </row>
    <row r="44" spans="1:24" x14ac:dyDescent="0.4">
      <c r="A44" s="29"/>
      <c r="B44" s="4" t="s">
        <v>4</v>
      </c>
      <c r="C44" s="5"/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202</v>
      </c>
      <c r="O44" s="5"/>
      <c r="P44" s="6"/>
      <c r="Q44" s="23"/>
      <c r="R44" s="4" t="s">
        <v>4</v>
      </c>
      <c r="S44" s="2">
        <v>4500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 t="s">
        <v>173</v>
      </c>
      <c r="O45" s="5"/>
      <c r="P45" s="6"/>
      <c r="Q45" s="23"/>
      <c r="R45" s="4" t="s">
        <v>5</v>
      </c>
      <c r="S45" s="2">
        <v>4500</v>
      </c>
      <c r="T45" s="23"/>
      <c r="U45" s="9"/>
    </row>
    <row r="46" spans="1:24" x14ac:dyDescent="0.4">
      <c r="A46" s="29">
        <f t="shared" ref="A46" si="50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1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2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3">A46+1</f>
        <v>45824</v>
      </c>
      <c r="B49" s="4" t="s">
        <v>3</v>
      </c>
      <c r="C49" s="5" t="s">
        <v>197</v>
      </c>
      <c r="D49" s="5" t="s">
        <v>19</v>
      </c>
      <c r="E49" s="6"/>
      <c r="F49" s="23">
        <v>9000</v>
      </c>
      <c r="G49" s="4" t="s">
        <v>3</v>
      </c>
      <c r="H49" s="2">
        <v>3500</v>
      </c>
      <c r="I49" s="23">
        <f t="shared" ref="I49" si="54">F49+H49+H50+H51</f>
        <v>16500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198</v>
      </c>
      <c r="D50" s="5" t="s">
        <v>19</v>
      </c>
      <c r="E50" s="6"/>
      <c r="F50" s="23"/>
      <c r="G50" s="4" t="s">
        <v>4</v>
      </c>
      <c r="H50" s="2">
        <v>4000</v>
      </c>
      <c r="I50" s="23"/>
      <c r="J50" s="9"/>
      <c r="L50" s="27">
        <f>W7</f>
        <v>23</v>
      </c>
      <c r="M50" s="28" t="s">
        <v>12</v>
      </c>
      <c r="N50" s="23">
        <f>MAX((L50-21)*5000,0)</f>
        <v>10000</v>
      </c>
      <c r="O50" s="31">
        <f>SUM(F4:F51,Q4:Q48)</f>
        <v>212000</v>
      </c>
      <c r="P50" s="31"/>
      <c r="Q50" s="31"/>
      <c r="R50" s="31"/>
      <c r="S50" s="23">
        <f>SUM(H4:H51,S4:S48)</f>
        <v>278000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45</v>
      </c>
      <c r="I53" s="23"/>
      <c r="J53" s="41">
        <v>45901</v>
      </c>
      <c r="L53" s="47" t="s">
        <v>35</v>
      </c>
      <c r="M53" s="48"/>
      <c r="N53" s="48"/>
      <c r="O53" s="48"/>
      <c r="P53" s="19"/>
      <c r="Q53" s="31">
        <v>15000</v>
      </c>
      <c r="R53" s="31"/>
      <c r="S53" s="23">
        <v>30000</v>
      </c>
      <c r="T53" s="23"/>
      <c r="U53" s="39">
        <f>SUM(X37:X42)</f>
        <v>555000</v>
      </c>
    </row>
    <row r="54" spans="1:21" ht="19.5" customHeight="1" thickBot="1" x14ac:dyDescent="0.45">
      <c r="H54" s="27"/>
      <c r="I54" s="23"/>
      <c r="J54" s="22"/>
      <c r="L54" s="49"/>
      <c r="M54" s="50"/>
      <c r="N54" s="50"/>
      <c r="O54" s="50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51"/>
      <c r="M55" s="52"/>
      <c r="N55" s="52"/>
      <c r="O55" s="52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  <row r="59" spans="1:21" x14ac:dyDescent="0.4">
      <c r="U59" s="5" t="s">
        <v>51</v>
      </c>
    </row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 U59" xr:uid="{4EDC59D2-1302-4647-9C44-52E1E0DCE8A9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4F68-1E11-48EC-8113-B0DCF57529B6}">
  <sheetPr>
    <pageSetUpPr fitToPage="1"/>
  </sheetPr>
  <dimension ref="A1:X56"/>
  <sheetViews>
    <sheetView topLeftCell="A36" workbookViewId="0">
      <selection activeCell="Q65" sqref="Q65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 t="s">
        <v>211</v>
      </c>
      <c r="O4" s="5" t="s">
        <v>51</v>
      </c>
      <c r="P4" s="6"/>
      <c r="Q4" s="23">
        <v>9000</v>
      </c>
      <c r="R4" s="4" t="s">
        <v>3</v>
      </c>
      <c r="S4" s="2">
        <v>6500</v>
      </c>
      <c r="T4" s="23">
        <f t="shared" ref="T4" si="0">Q4+S4+S5+S6</f>
        <v>20000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136</v>
      </c>
      <c r="O5" s="5" t="s">
        <v>51</v>
      </c>
      <c r="P5" s="6"/>
      <c r="Q5" s="23"/>
      <c r="R5" s="4" t="s">
        <v>4</v>
      </c>
      <c r="S5" s="2">
        <v>4500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204</v>
      </c>
      <c r="D7" s="5" t="s">
        <v>51</v>
      </c>
      <c r="E7" s="6"/>
      <c r="F7" s="23">
        <v>9000</v>
      </c>
      <c r="G7" s="4" t="s">
        <v>3</v>
      </c>
      <c r="H7" s="2">
        <v>6500</v>
      </c>
      <c r="I7" s="23">
        <f t="shared" ref="I7" si="1">F7+H7+H8+H9</f>
        <v>22000</v>
      </c>
      <c r="J7" s="9"/>
      <c r="L7" s="29">
        <f>L4+1</f>
        <v>45826</v>
      </c>
      <c r="M7" s="4" t="s">
        <v>3</v>
      </c>
      <c r="N7" s="5" t="s">
        <v>212</v>
      </c>
      <c r="O7" s="5" t="s">
        <v>51</v>
      </c>
      <c r="P7" s="6"/>
      <c r="Q7" s="23">
        <v>9000</v>
      </c>
      <c r="R7" s="4" t="s">
        <v>3</v>
      </c>
      <c r="S7" s="2">
        <v>3000</v>
      </c>
      <c r="T7" s="23">
        <f t="shared" ref="T7" si="2">Q7+S7+S8+S9</f>
        <v>16500</v>
      </c>
      <c r="U7" s="9"/>
      <c r="W7">
        <f>COUNT(F4:F51,Q4:Q48)</f>
        <v>23</v>
      </c>
    </row>
    <row r="8" spans="1:23" x14ac:dyDescent="0.4">
      <c r="A8" s="29"/>
      <c r="B8" s="4" t="s">
        <v>4</v>
      </c>
      <c r="C8" s="5" t="s">
        <v>139</v>
      </c>
      <c r="D8" s="5" t="s">
        <v>51</v>
      </c>
      <c r="E8" s="6"/>
      <c r="F8" s="23"/>
      <c r="G8" s="4" t="s">
        <v>4</v>
      </c>
      <c r="H8" s="2">
        <v>6500</v>
      </c>
      <c r="I8" s="23"/>
      <c r="J8" s="9"/>
      <c r="L8" s="29"/>
      <c r="M8" s="4" t="s">
        <v>4</v>
      </c>
      <c r="N8" s="5" t="s">
        <v>213</v>
      </c>
      <c r="O8" s="5" t="s">
        <v>51</v>
      </c>
      <c r="P8" s="6"/>
      <c r="Q8" s="23"/>
      <c r="R8" s="4" t="s">
        <v>4</v>
      </c>
      <c r="S8" s="2">
        <v>4500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3">A7+1</f>
        <v>45811</v>
      </c>
      <c r="B10" s="4" t="s">
        <v>3</v>
      </c>
      <c r="C10" s="5" t="s">
        <v>204</v>
      </c>
      <c r="D10" s="5" t="s">
        <v>51</v>
      </c>
      <c r="E10" s="6"/>
      <c r="F10" s="23">
        <v>9000</v>
      </c>
      <c r="G10" s="4" t="s">
        <v>3</v>
      </c>
      <c r="H10" s="2">
        <v>6500</v>
      </c>
      <c r="I10" s="23">
        <f t="shared" ref="I10" si="4">F10+H10+H11+H12</f>
        <v>22000</v>
      </c>
      <c r="J10" s="9"/>
      <c r="L10" s="29">
        <f t="shared" ref="L10" si="5">L7+1</f>
        <v>45827</v>
      </c>
      <c r="M10" s="4" t="s">
        <v>3</v>
      </c>
      <c r="N10" s="5" t="s">
        <v>184</v>
      </c>
      <c r="O10" s="5" t="s">
        <v>51</v>
      </c>
      <c r="P10" s="6"/>
      <c r="Q10" s="23">
        <v>9000</v>
      </c>
      <c r="R10" s="4" t="s">
        <v>3</v>
      </c>
      <c r="S10" s="2">
        <v>2500</v>
      </c>
      <c r="T10" s="23">
        <f t="shared" ref="T10" si="6">Q10+S10+S11+S12</f>
        <v>20000</v>
      </c>
      <c r="U10" s="9"/>
    </row>
    <row r="11" spans="1:23" x14ac:dyDescent="0.4">
      <c r="A11" s="29"/>
      <c r="B11" s="4" t="s">
        <v>4</v>
      </c>
      <c r="C11" s="5" t="s">
        <v>139</v>
      </c>
      <c r="D11" s="5" t="s">
        <v>51</v>
      </c>
      <c r="E11" s="6"/>
      <c r="F11" s="23"/>
      <c r="G11" s="4" t="s">
        <v>4</v>
      </c>
      <c r="H11" s="2">
        <v>6500</v>
      </c>
      <c r="I11" s="23"/>
      <c r="J11" s="9"/>
      <c r="L11" s="29"/>
      <c r="M11" s="4" t="s">
        <v>4</v>
      </c>
      <c r="N11" s="5" t="s">
        <v>214</v>
      </c>
      <c r="O11" s="5" t="s">
        <v>51</v>
      </c>
      <c r="P11" s="6"/>
      <c r="Q11" s="23"/>
      <c r="R11" s="4" t="s">
        <v>4</v>
      </c>
      <c r="S11" s="2">
        <v>2000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 t="s">
        <v>59</v>
      </c>
      <c r="O12" s="5" t="s">
        <v>51</v>
      </c>
      <c r="P12" s="6"/>
      <c r="Q12" s="23"/>
      <c r="R12" s="4" t="s">
        <v>5</v>
      </c>
      <c r="S12" s="2">
        <v>6500</v>
      </c>
      <c r="T12" s="23"/>
      <c r="U12" s="9"/>
    </row>
    <row r="13" spans="1:23" x14ac:dyDescent="0.4">
      <c r="A13" s="29">
        <f t="shared" ref="A13" si="7">A10+1</f>
        <v>45812</v>
      </c>
      <c r="B13" s="4" t="s">
        <v>3</v>
      </c>
      <c r="C13" s="5" t="s">
        <v>204</v>
      </c>
      <c r="D13" s="5" t="s">
        <v>51</v>
      </c>
      <c r="E13" s="6"/>
      <c r="F13" s="23">
        <v>9000</v>
      </c>
      <c r="G13" s="4" t="s">
        <v>3</v>
      </c>
      <c r="H13" s="2">
        <v>6500</v>
      </c>
      <c r="I13" s="23">
        <f t="shared" ref="I13" si="8">F13+H13+H14+H15</f>
        <v>22000</v>
      </c>
      <c r="J13" s="9"/>
      <c r="L13" s="29">
        <f t="shared" ref="L13" si="9">L10+1</f>
        <v>45828</v>
      </c>
      <c r="M13" s="4" t="s">
        <v>3</v>
      </c>
      <c r="N13" s="5" t="s">
        <v>63</v>
      </c>
      <c r="O13" s="5" t="s">
        <v>51</v>
      </c>
      <c r="P13" s="6"/>
      <c r="Q13" s="23">
        <v>9000</v>
      </c>
      <c r="R13" s="4" t="s">
        <v>3</v>
      </c>
      <c r="S13" s="2">
        <v>7500</v>
      </c>
      <c r="T13" s="23">
        <f t="shared" ref="T13" si="10">Q13+S13+S14+S15</f>
        <v>21000</v>
      </c>
      <c r="U13" s="9"/>
    </row>
    <row r="14" spans="1:23" x14ac:dyDescent="0.4">
      <c r="A14" s="29"/>
      <c r="B14" s="4" t="s">
        <v>4</v>
      </c>
      <c r="C14" s="5" t="s">
        <v>139</v>
      </c>
      <c r="D14" s="5" t="s">
        <v>51</v>
      </c>
      <c r="E14" s="6"/>
      <c r="F14" s="23"/>
      <c r="G14" s="4" t="s">
        <v>4</v>
      </c>
      <c r="H14" s="2">
        <v>6500</v>
      </c>
      <c r="I14" s="23"/>
      <c r="J14" s="9"/>
      <c r="L14" s="29"/>
      <c r="M14" s="4" t="s">
        <v>4</v>
      </c>
      <c r="N14" s="5" t="s">
        <v>54</v>
      </c>
      <c r="O14" s="5" t="s">
        <v>51</v>
      </c>
      <c r="P14" s="6"/>
      <c r="Q14" s="23"/>
      <c r="R14" s="4" t="s">
        <v>4</v>
      </c>
      <c r="S14" s="2">
        <v>4500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1">A13+1</f>
        <v>45813</v>
      </c>
      <c r="B16" s="4" t="s">
        <v>3</v>
      </c>
      <c r="C16" s="5" t="s">
        <v>204</v>
      </c>
      <c r="D16" s="5" t="s">
        <v>51</v>
      </c>
      <c r="E16" s="6"/>
      <c r="F16" s="23">
        <v>9000</v>
      </c>
      <c r="G16" s="4" t="s">
        <v>3</v>
      </c>
      <c r="H16" s="2">
        <v>6500</v>
      </c>
      <c r="I16" s="23">
        <f t="shared" ref="I16" si="12">F16+H16+H17+H18</f>
        <v>23500</v>
      </c>
      <c r="J16" s="9"/>
      <c r="L16" s="29">
        <f t="shared" ref="L16" si="13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4">Q16+S16+S17+S18</f>
        <v>0</v>
      </c>
      <c r="U16" s="9"/>
    </row>
    <row r="17" spans="1:21" x14ac:dyDescent="0.4">
      <c r="A17" s="29"/>
      <c r="B17" s="4" t="s">
        <v>4</v>
      </c>
      <c r="C17" s="5" t="s">
        <v>205</v>
      </c>
      <c r="D17" s="5" t="s">
        <v>51</v>
      </c>
      <c r="E17" s="6"/>
      <c r="F17" s="23"/>
      <c r="G17" s="4" t="s">
        <v>4</v>
      </c>
      <c r="H17" s="2">
        <v>1500</v>
      </c>
      <c r="I17" s="23"/>
      <c r="J17" s="9"/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 t="s">
        <v>139</v>
      </c>
      <c r="D18" s="5" t="s">
        <v>51</v>
      </c>
      <c r="E18" s="6"/>
      <c r="F18" s="23"/>
      <c r="G18" s="4" t="s">
        <v>5</v>
      </c>
      <c r="H18" s="2">
        <v>6500</v>
      </c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45814</v>
      </c>
      <c r="B19" s="4" t="s">
        <v>3</v>
      </c>
      <c r="C19" s="5" t="s">
        <v>204</v>
      </c>
      <c r="D19" s="5" t="s">
        <v>51</v>
      </c>
      <c r="E19" s="6"/>
      <c r="F19" s="23">
        <v>9000</v>
      </c>
      <c r="G19" s="4" t="s">
        <v>3</v>
      </c>
      <c r="H19" s="2">
        <v>6500</v>
      </c>
      <c r="I19" s="23">
        <f t="shared" ref="I19" si="16">F19+H19+H20+H21</f>
        <v>22000</v>
      </c>
      <c r="J19" s="9"/>
      <c r="L19" s="29">
        <f t="shared" ref="L19" si="17">L16+1</f>
        <v>45830</v>
      </c>
      <c r="M19" s="4" t="s">
        <v>3</v>
      </c>
      <c r="N19" s="5" t="s">
        <v>136</v>
      </c>
      <c r="O19" s="5" t="s">
        <v>51</v>
      </c>
      <c r="P19" s="6"/>
      <c r="Q19" s="64">
        <v>14000</v>
      </c>
      <c r="R19" s="4" t="s">
        <v>3</v>
      </c>
      <c r="S19" s="2">
        <v>3000</v>
      </c>
      <c r="T19" s="23">
        <f t="shared" ref="T19" si="18">Q19+S19+S20+S21</f>
        <v>26500</v>
      </c>
      <c r="U19" s="9"/>
    </row>
    <row r="20" spans="1:21" x14ac:dyDescent="0.4">
      <c r="A20" s="29"/>
      <c r="B20" s="4" t="s">
        <v>4</v>
      </c>
      <c r="C20" s="5" t="s">
        <v>139</v>
      </c>
      <c r="D20" s="5" t="s">
        <v>51</v>
      </c>
      <c r="E20" s="6"/>
      <c r="F20" s="23"/>
      <c r="G20" s="4" t="s">
        <v>4</v>
      </c>
      <c r="H20" s="2">
        <v>6500</v>
      </c>
      <c r="I20" s="23"/>
      <c r="J20" s="9"/>
      <c r="L20" s="29"/>
      <c r="M20" s="4" t="s">
        <v>4</v>
      </c>
      <c r="N20" s="5" t="s">
        <v>137</v>
      </c>
      <c r="O20" s="5" t="s">
        <v>51</v>
      </c>
      <c r="P20" s="6"/>
      <c r="Q20" s="64"/>
      <c r="R20" s="4" t="s">
        <v>4</v>
      </c>
      <c r="S20" s="2">
        <v>9500</v>
      </c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64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45815</v>
      </c>
      <c r="B22" s="4" t="s">
        <v>3</v>
      </c>
      <c r="C22" s="5" t="s">
        <v>136</v>
      </c>
      <c r="D22" s="5" t="s">
        <v>51</v>
      </c>
      <c r="E22" s="6"/>
      <c r="F22" s="65">
        <v>9000</v>
      </c>
      <c r="G22" s="4" t="s">
        <v>3</v>
      </c>
      <c r="H22" s="2">
        <v>3000</v>
      </c>
      <c r="I22" s="23">
        <f t="shared" ref="I22" si="20">F22+H22+H23+H24</f>
        <v>21500</v>
      </c>
      <c r="J22" s="9"/>
      <c r="L22" s="29">
        <f t="shared" ref="L22" si="21">L19+1</f>
        <v>45831</v>
      </c>
      <c r="M22" s="4" t="s">
        <v>3</v>
      </c>
      <c r="N22" s="5" t="s">
        <v>136</v>
      </c>
      <c r="O22" s="5" t="s">
        <v>51</v>
      </c>
      <c r="P22" s="6"/>
      <c r="Q22" s="65">
        <v>9000</v>
      </c>
      <c r="R22" s="4" t="s">
        <v>3</v>
      </c>
      <c r="S22" s="2">
        <v>3000</v>
      </c>
      <c r="T22" s="23">
        <f t="shared" ref="T22" si="22">Q22+S22+S23+S24</f>
        <v>21500</v>
      </c>
      <c r="U22" s="9"/>
    </row>
    <row r="23" spans="1:21" x14ac:dyDescent="0.4">
      <c r="A23" s="29"/>
      <c r="B23" s="4" t="s">
        <v>4</v>
      </c>
      <c r="C23" s="5" t="s">
        <v>137</v>
      </c>
      <c r="D23" s="5" t="s">
        <v>51</v>
      </c>
      <c r="E23" s="6"/>
      <c r="F23" s="65"/>
      <c r="G23" s="4" t="s">
        <v>4</v>
      </c>
      <c r="H23" s="2">
        <v>9500</v>
      </c>
      <c r="I23" s="23"/>
      <c r="J23" s="9"/>
      <c r="L23" s="29"/>
      <c r="M23" s="4" t="s">
        <v>4</v>
      </c>
      <c r="N23" s="5" t="s">
        <v>137</v>
      </c>
      <c r="O23" s="5" t="s">
        <v>51</v>
      </c>
      <c r="P23" s="6"/>
      <c r="Q23" s="65"/>
      <c r="R23" s="4" t="s">
        <v>4</v>
      </c>
      <c r="S23" s="2">
        <v>9500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65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65"/>
      <c r="R24" s="4" t="s">
        <v>5</v>
      </c>
      <c r="S24" s="2"/>
      <c r="T24" s="23"/>
      <c r="U24" s="9"/>
    </row>
    <row r="25" spans="1:21" x14ac:dyDescent="0.4">
      <c r="A25" s="29">
        <f t="shared" ref="A25" si="23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4">F25+H25+H26+H27</f>
        <v>0</v>
      </c>
      <c r="J25" s="9"/>
      <c r="L25" s="29">
        <f t="shared" ref="L25" si="25">L22+1</f>
        <v>45832</v>
      </c>
      <c r="M25" s="4" t="s">
        <v>3</v>
      </c>
      <c r="N25" s="5" t="s">
        <v>136</v>
      </c>
      <c r="O25" s="5" t="s">
        <v>51</v>
      </c>
      <c r="P25" s="6"/>
      <c r="Q25" s="65">
        <v>9000</v>
      </c>
      <c r="R25" s="4" t="s">
        <v>3</v>
      </c>
      <c r="S25" s="2">
        <v>3000</v>
      </c>
      <c r="T25" s="23">
        <f t="shared" ref="T25" si="26">Q25+S25+S26+S27</f>
        <v>21500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137</v>
      </c>
      <c r="O26" s="5" t="s">
        <v>51</v>
      </c>
      <c r="P26" s="6"/>
      <c r="Q26" s="65"/>
      <c r="R26" s="4" t="s">
        <v>4</v>
      </c>
      <c r="S26" s="2">
        <v>9500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65"/>
      <c r="R27" s="4" t="s">
        <v>5</v>
      </c>
      <c r="S27" s="2"/>
      <c r="T27" s="23"/>
      <c r="U27" s="9"/>
    </row>
    <row r="28" spans="1:21" x14ac:dyDescent="0.4">
      <c r="A28" s="29">
        <f t="shared" ref="A28" si="27">A25+1</f>
        <v>45817</v>
      </c>
      <c r="B28" s="4" t="s">
        <v>3</v>
      </c>
      <c r="C28" s="5" t="s">
        <v>206</v>
      </c>
      <c r="D28" s="5" t="s">
        <v>51</v>
      </c>
      <c r="E28" s="6"/>
      <c r="F28" s="65">
        <v>9000</v>
      </c>
      <c r="G28" s="4" t="s">
        <v>3</v>
      </c>
      <c r="H28" s="2">
        <v>4000</v>
      </c>
      <c r="I28" s="23">
        <f t="shared" ref="I28" si="28">F28+H28+H29+H30</f>
        <v>21000</v>
      </c>
      <c r="J28" s="9" t="s">
        <v>103</v>
      </c>
      <c r="L28" s="29">
        <f t="shared" ref="L28" si="29">L25+1</f>
        <v>45833</v>
      </c>
      <c r="M28" s="4" t="s">
        <v>3</v>
      </c>
      <c r="N28" s="5" t="s">
        <v>136</v>
      </c>
      <c r="O28" s="5" t="s">
        <v>51</v>
      </c>
      <c r="P28" s="6"/>
      <c r="Q28" s="65">
        <v>9000</v>
      </c>
      <c r="R28" s="4" t="s">
        <v>3</v>
      </c>
      <c r="S28" s="2">
        <v>3000</v>
      </c>
      <c r="T28" s="23">
        <f t="shared" ref="T28" si="30">Q28+S28+S29+S30</f>
        <v>21500</v>
      </c>
      <c r="U28" s="9"/>
    </row>
    <row r="29" spans="1:21" x14ac:dyDescent="0.4">
      <c r="A29" s="29"/>
      <c r="B29" s="4" t="s">
        <v>4</v>
      </c>
      <c r="C29" s="5" t="s">
        <v>207</v>
      </c>
      <c r="D29" s="5" t="s">
        <v>51</v>
      </c>
      <c r="E29" s="6"/>
      <c r="F29" s="65"/>
      <c r="G29" s="4" t="s">
        <v>4</v>
      </c>
      <c r="H29" s="2">
        <v>3500</v>
      </c>
      <c r="I29" s="23"/>
      <c r="J29" s="9"/>
      <c r="L29" s="29"/>
      <c r="M29" s="4" t="s">
        <v>4</v>
      </c>
      <c r="N29" s="5" t="s">
        <v>137</v>
      </c>
      <c r="O29" s="5" t="s">
        <v>51</v>
      </c>
      <c r="P29" s="6"/>
      <c r="Q29" s="65"/>
      <c r="R29" s="4" t="s">
        <v>4</v>
      </c>
      <c r="S29" s="2">
        <v>9500</v>
      </c>
      <c r="T29" s="23"/>
      <c r="U29" s="9"/>
    </row>
    <row r="30" spans="1:21" x14ac:dyDescent="0.4">
      <c r="A30" s="29"/>
      <c r="B30" s="4" t="s">
        <v>5</v>
      </c>
      <c r="C30" s="5" t="s">
        <v>79</v>
      </c>
      <c r="D30" s="5" t="s">
        <v>19</v>
      </c>
      <c r="E30" s="6"/>
      <c r="F30" s="65"/>
      <c r="G30" s="4" t="s">
        <v>5</v>
      </c>
      <c r="H30" s="2">
        <v>4500</v>
      </c>
      <c r="I30" s="23"/>
      <c r="J30" s="9"/>
      <c r="L30" s="29"/>
      <c r="M30" s="4" t="s">
        <v>5</v>
      </c>
      <c r="N30" s="5"/>
      <c r="O30" s="5"/>
      <c r="P30" s="6"/>
      <c r="Q30" s="65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45818</v>
      </c>
      <c r="B31" s="4" t="s">
        <v>3</v>
      </c>
      <c r="C31" s="5" t="s">
        <v>208</v>
      </c>
      <c r="D31" s="5" t="s">
        <v>51</v>
      </c>
      <c r="E31" s="6"/>
      <c r="F31" s="65">
        <v>9000</v>
      </c>
      <c r="G31" s="4" t="s">
        <v>3</v>
      </c>
      <c r="H31" s="2">
        <v>3000</v>
      </c>
      <c r="I31" s="23">
        <f t="shared" ref="I31" si="32">F31+H31+H32+H33</f>
        <v>18500</v>
      </c>
      <c r="J31" s="9"/>
      <c r="L31" s="29">
        <f t="shared" ref="L31" si="33">L28+1</f>
        <v>45834</v>
      </c>
      <c r="M31" s="4" t="s">
        <v>3</v>
      </c>
      <c r="N31" s="5" t="s">
        <v>136</v>
      </c>
      <c r="O31" s="5" t="s">
        <v>51</v>
      </c>
      <c r="P31" s="6"/>
      <c r="Q31" s="65">
        <v>9000</v>
      </c>
      <c r="R31" s="4" t="s">
        <v>3</v>
      </c>
      <c r="S31" s="2">
        <v>3000</v>
      </c>
      <c r="T31" s="23">
        <f t="shared" ref="T31" si="34">Q31+S31+S32+S33</f>
        <v>21500</v>
      </c>
      <c r="U31" s="9"/>
    </row>
    <row r="32" spans="1:21" x14ac:dyDescent="0.4">
      <c r="A32" s="29"/>
      <c r="B32" s="4" t="s">
        <v>4</v>
      </c>
      <c r="C32" s="5" t="s">
        <v>59</v>
      </c>
      <c r="D32" s="5" t="s">
        <v>51</v>
      </c>
      <c r="E32" s="6"/>
      <c r="F32" s="65"/>
      <c r="G32" s="4" t="s">
        <v>4</v>
      </c>
      <c r="H32" s="2">
        <v>6500</v>
      </c>
      <c r="I32" s="23"/>
      <c r="J32" s="9"/>
      <c r="L32" s="29"/>
      <c r="M32" s="4" t="s">
        <v>4</v>
      </c>
      <c r="N32" s="5" t="s">
        <v>137</v>
      </c>
      <c r="O32" s="5" t="s">
        <v>51</v>
      </c>
      <c r="P32" s="6"/>
      <c r="Q32" s="65"/>
      <c r="R32" s="4" t="s">
        <v>4</v>
      </c>
      <c r="S32" s="2">
        <v>9500</v>
      </c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65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65"/>
      <c r="R33" s="4" t="s">
        <v>5</v>
      </c>
      <c r="S33" s="2"/>
      <c r="T33" s="23"/>
      <c r="U33" s="9"/>
    </row>
    <row r="34" spans="1:24" x14ac:dyDescent="0.4">
      <c r="A34" s="29">
        <f t="shared" ref="A34" si="35">A31+1</f>
        <v>45819</v>
      </c>
      <c r="B34" s="4" t="s">
        <v>3</v>
      </c>
      <c r="C34" s="5" t="s">
        <v>100</v>
      </c>
      <c r="D34" s="5" t="s">
        <v>51</v>
      </c>
      <c r="E34" s="6"/>
      <c r="F34" s="65">
        <v>9000</v>
      </c>
      <c r="G34" s="4" t="s">
        <v>3</v>
      </c>
      <c r="H34" s="2">
        <v>6500</v>
      </c>
      <c r="I34" s="23">
        <f t="shared" ref="I34" si="36">F34+H34+H35+H36</f>
        <v>20000</v>
      </c>
      <c r="J34" s="9"/>
      <c r="L34" s="29">
        <f t="shared" ref="L34" si="37">L31+1</f>
        <v>45835</v>
      </c>
      <c r="M34" s="4" t="s">
        <v>3</v>
      </c>
      <c r="N34" s="5" t="s">
        <v>136</v>
      </c>
      <c r="O34" s="5" t="s">
        <v>51</v>
      </c>
      <c r="P34" s="6"/>
      <c r="Q34" s="65">
        <v>9000</v>
      </c>
      <c r="R34" s="4" t="s">
        <v>3</v>
      </c>
      <c r="S34" s="2">
        <v>3000</v>
      </c>
      <c r="T34" s="23">
        <f t="shared" ref="T34" si="38">Q34+S34+S35+S36</f>
        <v>21500</v>
      </c>
      <c r="U34" s="9"/>
    </row>
    <row r="35" spans="1:24" x14ac:dyDescent="0.4">
      <c r="A35" s="29"/>
      <c r="B35" s="4" t="s">
        <v>4</v>
      </c>
      <c r="C35" s="5" t="s">
        <v>209</v>
      </c>
      <c r="D35" s="5" t="s">
        <v>51</v>
      </c>
      <c r="E35" s="6"/>
      <c r="F35" s="65"/>
      <c r="G35" s="4" t="s">
        <v>4</v>
      </c>
      <c r="H35" s="2">
        <v>4500</v>
      </c>
      <c r="I35" s="23"/>
      <c r="J35" s="9"/>
      <c r="L35" s="29"/>
      <c r="M35" s="4" t="s">
        <v>4</v>
      </c>
      <c r="N35" s="5" t="s">
        <v>137</v>
      </c>
      <c r="O35" s="5" t="s">
        <v>51</v>
      </c>
      <c r="P35" s="6"/>
      <c r="Q35" s="65"/>
      <c r="R35" s="4" t="s">
        <v>4</v>
      </c>
      <c r="S35" s="2">
        <v>9500</v>
      </c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65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65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45820</v>
      </c>
      <c r="B37" s="4" t="s">
        <v>3</v>
      </c>
      <c r="C37" s="5" t="s">
        <v>75</v>
      </c>
      <c r="D37" s="5" t="s">
        <v>51</v>
      </c>
      <c r="E37" s="6"/>
      <c r="F37" s="65">
        <v>9000</v>
      </c>
      <c r="G37" s="4" t="s">
        <v>3</v>
      </c>
      <c r="H37" s="2">
        <v>4000</v>
      </c>
      <c r="I37" s="23">
        <f t="shared" ref="I37" si="40">F37+H37+H38+H39</f>
        <v>16500</v>
      </c>
      <c r="J37" s="9"/>
      <c r="L37" s="29">
        <f t="shared" ref="L37" si="41">L34+1</f>
        <v>45836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42">Q37+S37+S38+S39</f>
        <v>0</v>
      </c>
      <c r="U37" s="9"/>
      <c r="X37">
        <f>N50</f>
        <v>10000</v>
      </c>
    </row>
    <row r="38" spans="1:24" x14ac:dyDescent="0.4">
      <c r="A38" s="29"/>
      <c r="B38" s="4" t="s">
        <v>4</v>
      </c>
      <c r="C38" s="5" t="s">
        <v>54</v>
      </c>
      <c r="D38" s="5" t="s">
        <v>51</v>
      </c>
      <c r="E38" s="6"/>
      <c r="F38" s="65"/>
      <c r="G38" s="4" t="s">
        <v>4</v>
      </c>
      <c r="H38" s="2">
        <v>3500</v>
      </c>
      <c r="I38" s="23"/>
      <c r="J38" s="9"/>
      <c r="L38" s="29"/>
      <c r="M38" s="4" t="s">
        <v>4</v>
      </c>
      <c r="N38" s="5" t="s">
        <v>48</v>
      </c>
      <c r="O38" s="5"/>
      <c r="P38" s="6"/>
      <c r="Q38" s="23"/>
      <c r="R38" s="4" t="s">
        <v>4</v>
      </c>
      <c r="S38" s="2"/>
      <c r="T38" s="23"/>
      <c r="U38" s="9"/>
      <c r="X38">
        <f>O50</f>
        <v>212000</v>
      </c>
    </row>
    <row r="39" spans="1:24" x14ac:dyDescent="0.4">
      <c r="A39" s="29"/>
      <c r="B39" s="4" t="s">
        <v>5</v>
      </c>
      <c r="C39" s="5"/>
      <c r="D39" s="5"/>
      <c r="E39" s="6"/>
      <c r="F39" s="65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283500</v>
      </c>
    </row>
    <row r="40" spans="1:24" x14ac:dyDescent="0.4">
      <c r="A40" s="29">
        <f t="shared" ref="A40" si="43">A37+1</f>
        <v>45821</v>
      </c>
      <c r="B40" s="4" t="s">
        <v>3</v>
      </c>
      <c r="C40" s="5" t="s">
        <v>57</v>
      </c>
      <c r="D40" s="5" t="s">
        <v>51</v>
      </c>
      <c r="E40" s="6"/>
      <c r="F40" s="65">
        <v>9000</v>
      </c>
      <c r="G40" s="4" t="s">
        <v>3</v>
      </c>
      <c r="H40" s="2">
        <v>3500</v>
      </c>
      <c r="I40" s="23">
        <f>F40+H40+H41+H42</f>
        <v>20000</v>
      </c>
      <c r="J40" s="9" t="s">
        <v>103</v>
      </c>
      <c r="L40" s="29">
        <f t="shared" ref="L40" si="44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5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58</v>
      </c>
      <c r="D41" s="5" t="s">
        <v>51</v>
      </c>
      <c r="E41" s="6"/>
      <c r="F41" s="65"/>
      <c r="G41" s="4" t="s">
        <v>4</v>
      </c>
      <c r="H41" s="2">
        <v>3000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10000</v>
      </c>
    </row>
    <row r="42" spans="1:24" x14ac:dyDescent="0.4">
      <c r="A42" s="29"/>
      <c r="B42" s="4" t="s">
        <v>5</v>
      </c>
      <c r="C42" s="5" t="s">
        <v>208</v>
      </c>
      <c r="D42" s="5" t="s">
        <v>51</v>
      </c>
      <c r="E42" s="6"/>
      <c r="F42" s="65"/>
      <c r="G42" s="4" t="s">
        <v>5</v>
      </c>
      <c r="H42" s="2">
        <v>4500</v>
      </c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6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7">F43+H43+H44+H45</f>
        <v>0</v>
      </c>
      <c r="J43" s="9"/>
      <c r="L43" s="29">
        <f t="shared" ref="L43" si="48">L40+1</f>
        <v>45838</v>
      </c>
      <c r="M43" s="4" t="s">
        <v>3</v>
      </c>
      <c r="N43" s="5" t="s">
        <v>204</v>
      </c>
      <c r="O43" s="5" t="s">
        <v>51</v>
      </c>
      <c r="P43" s="6"/>
      <c r="Q43" s="23">
        <v>9000</v>
      </c>
      <c r="R43" s="4" t="s">
        <v>3</v>
      </c>
      <c r="S43" s="2">
        <v>6500</v>
      </c>
      <c r="T43" s="23">
        <f t="shared" ref="T43" si="49">Q43+S43+S44+S45</f>
        <v>23500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205</v>
      </c>
      <c r="O44" s="5" t="s">
        <v>51</v>
      </c>
      <c r="P44" s="6"/>
      <c r="Q44" s="23"/>
      <c r="R44" s="4" t="s">
        <v>4</v>
      </c>
      <c r="S44" s="2">
        <v>1500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 t="s">
        <v>139</v>
      </c>
      <c r="O45" s="5" t="s">
        <v>51</v>
      </c>
      <c r="P45" s="6"/>
      <c r="Q45" s="23"/>
      <c r="R45" s="4" t="s">
        <v>5</v>
      </c>
      <c r="S45" s="2">
        <v>6500</v>
      </c>
      <c r="T45" s="23"/>
      <c r="U45" s="9"/>
    </row>
    <row r="46" spans="1:24" x14ac:dyDescent="0.4">
      <c r="A46" s="29">
        <f t="shared" ref="A46" si="50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1">F46+H46+H47+H48</f>
        <v>0</v>
      </c>
      <c r="J46" s="9"/>
      <c r="L46" s="29"/>
      <c r="M46" s="4" t="s">
        <v>3</v>
      </c>
      <c r="N46" s="5" t="s">
        <v>291</v>
      </c>
      <c r="O46" s="5"/>
      <c r="P46" s="6"/>
      <c r="Q46" s="23"/>
      <c r="R46" s="4" t="s">
        <v>3</v>
      </c>
      <c r="S46" s="2">
        <v>12000</v>
      </c>
      <c r="T46" s="23">
        <f t="shared" ref="T46" si="52">Q46+S46+S47+S48</f>
        <v>12000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3">A46+1</f>
        <v>45824</v>
      </c>
      <c r="B49" s="4" t="s">
        <v>3</v>
      </c>
      <c r="C49" s="5" t="s">
        <v>210</v>
      </c>
      <c r="D49" s="5" t="s">
        <v>51</v>
      </c>
      <c r="E49" s="6"/>
      <c r="F49" s="23">
        <v>9000</v>
      </c>
      <c r="G49" s="4" t="s">
        <v>3</v>
      </c>
      <c r="H49" s="2">
        <v>2000</v>
      </c>
      <c r="I49" s="23">
        <f t="shared" ref="I49" si="54">F49+H49+H50+H51</f>
        <v>19500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210</v>
      </c>
      <c r="D50" s="5" t="s">
        <v>51</v>
      </c>
      <c r="E50" s="6"/>
      <c r="F50" s="23"/>
      <c r="G50" s="4" t="s">
        <v>4</v>
      </c>
      <c r="H50" s="2">
        <v>2000</v>
      </c>
      <c r="I50" s="23"/>
      <c r="J50" s="9"/>
      <c r="L50" s="27">
        <f>W7</f>
        <v>23</v>
      </c>
      <c r="M50" s="28" t="s">
        <v>12</v>
      </c>
      <c r="N50" s="23">
        <f>MAX((L50-21)*5000,0)</f>
        <v>10000</v>
      </c>
      <c r="O50" s="31">
        <f>SUM(F4:F51,Q4:Q48)</f>
        <v>212000</v>
      </c>
      <c r="P50" s="31"/>
      <c r="Q50" s="31"/>
      <c r="R50" s="31"/>
      <c r="S50" s="23">
        <f>SUM(H4:H51,S4:S48)</f>
        <v>283500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 t="s">
        <v>59</v>
      </c>
      <c r="D51" s="16" t="s">
        <v>51</v>
      </c>
      <c r="E51" s="12"/>
      <c r="F51" s="24"/>
      <c r="G51" s="15" t="s">
        <v>5</v>
      </c>
      <c r="H51" s="11">
        <v>6500</v>
      </c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46</v>
      </c>
      <c r="I53" s="23"/>
      <c r="J53" s="41">
        <v>46054</v>
      </c>
      <c r="L53" s="47" t="s">
        <v>34</v>
      </c>
      <c r="M53" s="48"/>
      <c r="N53" s="48"/>
      <c r="O53" s="48"/>
      <c r="P53" s="19"/>
      <c r="Q53" s="31">
        <v>10000</v>
      </c>
      <c r="R53" s="31"/>
      <c r="S53" s="23">
        <v>30000</v>
      </c>
      <c r="T53" s="23"/>
      <c r="U53" s="39">
        <f>SUM(X37:X42)</f>
        <v>555500</v>
      </c>
    </row>
    <row r="54" spans="1:21" ht="19.5" customHeight="1" thickBot="1" x14ac:dyDescent="0.45">
      <c r="H54" s="27"/>
      <c r="I54" s="23"/>
      <c r="J54" s="22"/>
      <c r="L54" s="49"/>
      <c r="M54" s="50"/>
      <c r="N54" s="50"/>
      <c r="O54" s="50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51"/>
      <c r="M55" s="52"/>
      <c r="N55" s="52"/>
      <c r="O55" s="52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" xr:uid="{4ECAF00E-2350-44E9-93E1-D2C5666E09AB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DA5F-3D89-4D5B-9344-A1E1A4EA59B2}">
  <sheetPr>
    <pageSetUpPr fitToPage="1"/>
  </sheetPr>
  <dimension ref="A1:X56"/>
  <sheetViews>
    <sheetView tabSelected="1" topLeftCell="A29" workbookViewId="0">
      <selection activeCell="S53" sqref="S53:T54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 t="s">
        <v>204</v>
      </c>
      <c r="O4" s="5" t="s">
        <v>51</v>
      </c>
      <c r="P4" s="6"/>
      <c r="Q4" s="23">
        <v>9000</v>
      </c>
      <c r="R4" s="4" t="s">
        <v>3</v>
      </c>
      <c r="S4" s="2">
        <v>6500</v>
      </c>
      <c r="T4" s="23">
        <f t="shared" ref="T4" si="0">Q4+S4+S5+S6</f>
        <v>22000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139</v>
      </c>
      <c r="O5" s="5" t="s">
        <v>51</v>
      </c>
      <c r="P5" s="6"/>
      <c r="Q5" s="23"/>
      <c r="R5" s="4" t="s">
        <v>4</v>
      </c>
      <c r="S5" s="2">
        <v>6500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119</v>
      </c>
      <c r="D7" s="5" t="s">
        <v>51</v>
      </c>
      <c r="E7" s="6"/>
      <c r="F7" s="23">
        <v>9000</v>
      </c>
      <c r="G7" s="4" t="s">
        <v>3</v>
      </c>
      <c r="H7" s="2">
        <v>6500</v>
      </c>
      <c r="I7" s="23">
        <f t="shared" ref="I7" si="1">F7+H7+H8+H9</f>
        <v>22000</v>
      </c>
      <c r="J7" s="9"/>
      <c r="L7" s="29">
        <f>L4+1</f>
        <v>45826</v>
      </c>
      <c r="M7" s="4" t="s">
        <v>3</v>
      </c>
      <c r="N7" s="5" t="s">
        <v>204</v>
      </c>
      <c r="O7" s="5" t="s">
        <v>51</v>
      </c>
      <c r="P7" s="6"/>
      <c r="Q7" s="23">
        <v>9000</v>
      </c>
      <c r="R7" s="4" t="s">
        <v>3</v>
      </c>
      <c r="S7" s="2">
        <v>6500</v>
      </c>
      <c r="T7" s="23">
        <f t="shared" ref="T7" si="2">Q7+S7+S8+S9</f>
        <v>23500</v>
      </c>
      <c r="U7" s="9"/>
      <c r="W7">
        <f>COUNT(F4:F51,Q4:Q48)</f>
        <v>23</v>
      </c>
    </row>
    <row r="8" spans="1:23" x14ac:dyDescent="0.4">
      <c r="A8" s="29"/>
      <c r="B8" s="4" t="s">
        <v>4</v>
      </c>
      <c r="C8" s="5" t="s">
        <v>183</v>
      </c>
      <c r="D8" s="5" t="s">
        <v>51</v>
      </c>
      <c r="E8" s="6"/>
      <c r="F8" s="23"/>
      <c r="G8" s="4" t="s">
        <v>4</v>
      </c>
      <c r="H8" s="2">
        <v>6500</v>
      </c>
      <c r="I8" s="23"/>
      <c r="J8" s="9"/>
      <c r="L8" s="29"/>
      <c r="M8" s="4" t="s">
        <v>4</v>
      </c>
      <c r="N8" s="5" t="s">
        <v>205</v>
      </c>
      <c r="O8" s="5" t="s">
        <v>51</v>
      </c>
      <c r="P8" s="6"/>
      <c r="Q8" s="23"/>
      <c r="R8" s="4" t="s">
        <v>4</v>
      </c>
      <c r="S8" s="2">
        <v>1500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 t="s">
        <v>139</v>
      </c>
      <c r="O9" s="5" t="s">
        <v>51</v>
      </c>
      <c r="P9" s="6"/>
      <c r="Q9" s="23"/>
      <c r="R9" s="4" t="s">
        <v>5</v>
      </c>
      <c r="S9" s="2">
        <v>6500</v>
      </c>
      <c r="T9" s="23"/>
      <c r="U9" s="9"/>
    </row>
    <row r="10" spans="1:23" x14ac:dyDescent="0.4">
      <c r="A10" s="29">
        <f t="shared" ref="A10" si="3">A7+1</f>
        <v>45811</v>
      </c>
      <c r="B10" s="4" t="s">
        <v>3</v>
      </c>
      <c r="C10" s="5" t="s">
        <v>215</v>
      </c>
      <c r="D10" s="5" t="s">
        <v>51</v>
      </c>
      <c r="E10" s="6"/>
      <c r="F10" s="23">
        <v>9000</v>
      </c>
      <c r="G10" s="4" t="s">
        <v>3</v>
      </c>
      <c r="H10" s="2">
        <v>6500</v>
      </c>
      <c r="I10" s="23">
        <f t="shared" ref="I10" si="4">F10+H10+H11+H12</f>
        <v>22000</v>
      </c>
      <c r="J10" s="9"/>
      <c r="L10" s="29">
        <f t="shared" ref="L10" si="5">L7+1</f>
        <v>45827</v>
      </c>
      <c r="M10" s="4" t="s">
        <v>3</v>
      </c>
      <c r="N10" s="5" t="s">
        <v>204</v>
      </c>
      <c r="O10" s="5" t="s">
        <v>51</v>
      </c>
      <c r="P10" s="6"/>
      <c r="Q10" s="23">
        <v>9000</v>
      </c>
      <c r="R10" s="4" t="s">
        <v>3</v>
      </c>
      <c r="S10" s="2">
        <v>6500</v>
      </c>
      <c r="T10" s="23">
        <f t="shared" ref="T10" si="6">Q10+S10+S11+S12</f>
        <v>22000</v>
      </c>
      <c r="U10" s="9"/>
    </row>
    <row r="11" spans="1:23" x14ac:dyDescent="0.4">
      <c r="A11" s="29"/>
      <c r="B11" s="4" t="s">
        <v>4</v>
      </c>
      <c r="C11" s="5" t="s">
        <v>183</v>
      </c>
      <c r="D11" s="5" t="s">
        <v>51</v>
      </c>
      <c r="E11" s="6"/>
      <c r="F11" s="23"/>
      <c r="G11" s="4" t="s">
        <v>4</v>
      </c>
      <c r="H11" s="2">
        <v>6500</v>
      </c>
      <c r="I11" s="23"/>
      <c r="J11" s="9"/>
      <c r="L11" s="29"/>
      <c r="M11" s="4" t="s">
        <v>4</v>
      </c>
      <c r="N11" s="5" t="s">
        <v>139</v>
      </c>
      <c r="O11" s="5" t="s">
        <v>51</v>
      </c>
      <c r="P11" s="6"/>
      <c r="Q11" s="23"/>
      <c r="R11" s="4" t="s">
        <v>4</v>
      </c>
      <c r="S11" s="2">
        <v>6500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7">A10+1</f>
        <v>45812</v>
      </c>
      <c r="B13" s="4" t="s">
        <v>3</v>
      </c>
      <c r="C13" s="5" t="s">
        <v>143</v>
      </c>
      <c r="D13" s="5" t="s">
        <v>51</v>
      </c>
      <c r="E13" s="6"/>
      <c r="F13" s="23">
        <v>9000</v>
      </c>
      <c r="G13" s="4" t="s">
        <v>3</v>
      </c>
      <c r="H13" s="2">
        <v>2000</v>
      </c>
      <c r="I13" s="23">
        <f t="shared" ref="I13" si="8">F13+H13+H14+H15</f>
        <v>17500</v>
      </c>
      <c r="J13" s="9"/>
      <c r="L13" s="29">
        <f t="shared" ref="L13" si="9">L10+1</f>
        <v>45828</v>
      </c>
      <c r="M13" s="4" t="s">
        <v>3</v>
      </c>
      <c r="N13" s="5" t="s">
        <v>204</v>
      </c>
      <c r="O13" s="5" t="s">
        <v>51</v>
      </c>
      <c r="P13" s="6"/>
      <c r="Q13" s="23">
        <v>9000</v>
      </c>
      <c r="R13" s="4" t="s">
        <v>3</v>
      </c>
      <c r="S13" s="2">
        <v>6500</v>
      </c>
      <c r="T13" s="23">
        <f t="shared" ref="T13" si="10">Q13+S13+S14+S15</f>
        <v>23500</v>
      </c>
      <c r="U13" s="9"/>
    </row>
    <row r="14" spans="1:23" x14ac:dyDescent="0.4">
      <c r="A14" s="29"/>
      <c r="B14" s="4" t="s">
        <v>4</v>
      </c>
      <c r="C14" s="5" t="s">
        <v>143</v>
      </c>
      <c r="D14" s="5" t="s">
        <v>51</v>
      </c>
      <c r="E14" s="6"/>
      <c r="F14" s="23"/>
      <c r="G14" s="4" t="s">
        <v>4</v>
      </c>
      <c r="H14" s="2">
        <v>2000</v>
      </c>
      <c r="I14" s="23"/>
      <c r="J14" s="9"/>
      <c r="L14" s="29"/>
      <c r="M14" s="4" t="s">
        <v>4</v>
      </c>
      <c r="N14" s="5" t="s">
        <v>205</v>
      </c>
      <c r="O14" s="5" t="s">
        <v>51</v>
      </c>
      <c r="P14" s="6"/>
      <c r="Q14" s="23"/>
      <c r="R14" s="4" t="s">
        <v>4</v>
      </c>
      <c r="S14" s="2">
        <v>1500</v>
      </c>
      <c r="T14" s="23"/>
      <c r="U14" s="9"/>
    </row>
    <row r="15" spans="1:23" x14ac:dyDescent="0.4">
      <c r="A15" s="29"/>
      <c r="B15" s="4" t="s">
        <v>5</v>
      </c>
      <c r="C15" s="5" t="s">
        <v>79</v>
      </c>
      <c r="D15" s="5" t="s">
        <v>51</v>
      </c>
      <c r="E15" s="6"/>
      <c r="F15" s="23"/>
      <c r="G15" s="4" t="s">
        <v>5</v>
      </c>
      <c r="H15" s="2">
        <v>4500</v>
      </c>
      <c r="I15" s="23"/>
      <c r="J15" s="9"/>
      <c r="L15" s="29"/>
      <c r="M15" s="4" t="s">
        <v>5</v>
      </c>
      <c r="N15" s="5" t="s">
        <v>139</v>
      </c>
      <c r="O15" s="5" t="s">
        <v>51</v>
      </c>
      <c r="P15" s="6"/>
      <c r="Q15" s="23"/>
      <c r="R15" s="4" t="s">
        <v>5</v>
      </c>
      <c r="S15" s="2">
        <v>6500</v>
      </c>
      <c r="T15" s="23"/>
      <c r="U15" s="9"/>
    </row>
    <row r="16" spans="1:23" x14ac:dyDescent="0.4">
      <c r="A16" s="29">
        <f t="shared" ref="A16" si="11">A13+1</f>
        <v>45813</v>
      </c>
      <c r="B16" s="4" t="s">
        <v>3</v>
      </c>
      <c r="C16" s="5" t="s">
        <v>126</v>
      </c>
      <c r="D16" s="5" t="s">
        <v>51</v>
      </c>
      <c r="E16" s="6"/>
      <c r="F16" s="23">
        <v>9000</v>
      </c>
      <c r="G16" s="4" t="s">
        <v>3</v>
      </c>
      <c r="H16" s="2">
        <v>6500</v>
      </c>
      <c r="I16" s="23">
        <f t="shared" ref="I16" si="12">F16+H16+H17+H18</f>
        <v>22000</v>
      </c>
      <c r="J16" s="9"/>
      <c r="L16" s="29">
        <f t="shared" ref="L16" si="13">L13+1</f>
        <v>45829</v>
      </c>
      <c r="M16" s="4" t="s">
        <v>3</v>
      </c>
      <c r="N16" s="5" t="s">
        <v>136</v>
      </c>
      <c r="O16" s="5" t="s">
        <v>51</v>
      </c>
      <c r="P16" s="6"/>
      <c r="Q16" s="65">
        <v>9000</v>
      </c>
      <c r="R16" s="4" t="s">
        <v>3</v>
      </c>
      <c r="S16" s="2">
        <v>3000</v>
      </c>
      <c r="T16" s="23">
        <f t="shared" ref="T16" si="14">Q16+S16+S17+S18</f>
        <v>21500</v>
      </c>
      <c r="U16" s="9"/>
    </row>
    <row r="17" spans="1:21" x14ac:dyDescent="0.4">
      <c r="A17" s="29"/>
      <c r="B17" s="4" t="s">
        <v>4</v>
      </c>
      <c r="C17" s="5" t="s">
        <v>216</v>
      </c>
      <c r="D17" s="5" t="s">
        <v>51</v>
      </c>
      <c r="E17" s="6"/>
      <c r="F17" s="23"/>
      <c r="G17" s="4" t="s">
        <v>4</v>
      </c>
      <c r="H17" s="2">
        <v>6500</v>
      </c>
      <c r="I17" s="23"/>
      <c r="J17" s="9"/>
      <c r="L17" s="29"/>
      <c r="M17" s="4" t="s">
        <v>4</v>
      </c>
      <c r="N17" s="5" t="s">
        <v>137</v>
      </c>
      <c r="O17" s="5" t="s">
        <v>51</v>
      </c>
      <c r="P17" s="6"/>
      <c r="Q17" s="65"/>
      <c r="R17" s="4" t="s">
        <v>4</v>
      </c>
      <c r="S17" s="2">
        <v>9500</v>
      </c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65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45814</v>
      </c>
      <c r="B19" s="4" t="s">
        <v>3</v>
      </c>
      <c r="C19" s="5" t="s">
        <v>104</v>
      </c>
      <c r="D19" s="5" t="s">
        <v>51</v>
      </c>
      <c r="E19" s="6"/>
      <c r="F19" s="23">
        <v>9000</v>
      </c>
      <c r="G19" s="4" t="s">
        <v>3</v>
      </c>
      <c r="H19" s="2">
        <v>3000</v>
      </c>
      <c r="I19" s="23">
        <f t="shared" ref="I19" si="16">F19+H19+H20+H21</f>
        <v>19500</v>
      </c>
      <c r="J19" s="9"/>
      <c r="L19" s="29">
        <f t="shared" ref="L19" si="17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8">Q19+S19+S20+S21</f>
        <v>0</v>
      </c>
      <c r="U19" s="9"/>
    </row>
    <row r="20" spans="1:21" x14ac:dyDescent="0.4">
      <c r="A20" s="29"/>
      <c r="B20" s="4" t="s">
        <v>4</v>
      </c>
      <c r="C20" s="5" t="s">
        <v>55</v>
      </c>
      <c r="D20" s="5" t="s">
        <v>51</v>
      </c>
      <c r="E20" s="6"/>
      <c r="F20" s="23"/>
      <c r="G20" s="4" t="s">
        <v>4</v>
      </c>
      <c r="H20" s="2">
        <v>3000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 t="s">
        <v>54</v>
      </c>
      <c r="D21" s="5" t="s">
        <v>51</v>
      </c>
      <c r="E21" s="6"/>
      <c r="F21" s="23"/>
      <c r="G21" s="4" t="s">
        <v>5</v>
      </c>
      <c r="H21" s="2">
        <v>4500</v>
      </c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20">F22+H22+H23+H24</f>
        <v>0</v>
      </c>
      <c r="J22" s="9"/>
      <c r="L22" s="29">
        <f t="shared" ref="L22" si="21">L19+1</f>
        <v>45831</v>
      </c>
      <c r="M22" s="4" t="s">
        <v>3</v>
      </c>
      <c r="N22" s="5" t="s">
        <v>143</v>
      </c>
      <c r="O22" s="5" t="s">
        <v>51</v>
      </c>
      <c r="P22" s="6"/>
      <c r="Q22" s="65">
        <v>9000</v>
      </c>
      <c r="R22" s="4" t="s">
        <v>3</v>
      </c>
      <c r="S22" s="2">
        <v>2000</v>
      </c>
      <c r="T22" s="23">
        <f t="shared" ref="T22" si="22">Q22+S22+S23+S24</f>
        <v>20500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131</v>
      </c>
      <c r="O23" s="5" t="s">
        <v>51</v>
      </c>
      <c r="P23" s="6"/>
      <c r="Q23" s="65"/>
      <c r="R23" s="4" t="s">
        <v>4</v>
      </c>
      <c r="S23" s="2">
        <v>3000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 t="s">
        <v>59</v>
      </c>
      <c r="O24" s="5" t="s">
        <v>51</v>
      </c>
      <c r="P24" s="6"/>
      <c r="Q24" s="65"/>
      <c r="R24" s="4" t="s">
        <v>5</v>
      </c>
      <c r="S24" s="2">
        <v>6500</v>
      </c>
      <c r="T24" s="23"/>
      <c r="U24" s="9"/>
    </row>
    <row r="25" spans="1:21" x14ac:dyDescent="0.4">
      <c r="A25" s="29">
        <f t="shared" ref="A25" si="23">A22+1</f>
        <v>45816</v>
      </c>
      <c r="B25" s="4" t="s">
        <v>3</v>
      </c>
      <c r="C25" s="5" t="s">
        <v>136</v>
      </c>
      <c r="D25" s="5" t="s">
        <v>51</v>
      </c>
      <c r="E25" s="6"/>
      <c r="F25" s="64">
        <v>14000</v>
      </c>
      <c r="G25" s="4" t="s">
        <v>3</v>
      </c>
      <c r="H25" s="2">
        <v>3000</v>
      </c>
      <c r="I25" s="23">
        <f t="shared" ref="I25" si="24">F25+H25+H26+H27</f>
        <v>26500</v>
      </c>
      <c r="J25" s="9"/>
      <c r="L25" s="29">
        <f t="shared" ref="L25" si="25">L22+1</f>
        <v>45832</v>
      </c>
      <c r="M25" s="4" t="s">
        <v>3</v>
      </c>
      <c r="N25" s="5" t="s">
        <v>63</v>
      </c>
      <c r="O25" s="5" t="s">
        <v>51</v>
      </c>
      <c r="P25" s="6"/>
      <c r="Q25" s="65">
        <v>9000</v>
      </c>
      <c r="R25" s="4" t="s">
        <v>3</v>
      </c>
      <c r="S25" s="2">
        <v>7500</v>
      </c>
      <c r="T25" s="23">
        <f t="shared" ref="T25" si="26">Q25+S25+S26+S27</f>
        <v>21000</v>
      </c>
      <c r="U25" s="9"/>
    </row>
    <row r="26" spans="1:21" x14ac:dyDescent="0.4">
      <c r="A26" s="29"/>
      <c r="B26" s="4" t="s">
        <v>4</v>
      </c>
      <c r="C26" s="5" t="s">
        <v>137</v>
      </c>
      <c r="D26" s="5" t="s">
        <v>51</v>
      </c>
      <c r="E26" s="6"/>
      <c r="F26" s="64"/>
      <c r="G26" s="4" t="s">
        <v>4</v>
      </c>
      <c r="H26" s="2">
        <v>9500</v>
      </c>
      <c r="I26" s="23"/>
      <c r="J26" s="9"/>
      <c r="L26" s="29"/>
      <c r="M26" s="4" t="s">
        <v>4</v>
      </c>
      <c r="N26" s="5" t="s">
        <v>217</v>
      </c>
      <c r="O26" s="5" t="s">
        <v>51</v>
      </c>
      <c r="P26" s="6"/>
      <c r="Q26" s="65"/>
      <c r="R26" s="4" t="s">
        <v>4</v>
      </c>
      <c r="S26" s="2">
        <v>4500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64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65"/>
      <c r="R27" s="4" t="s">
        <v>5</v>
      </c>
      <c r="S27" s="2"/>
      <c r="T27" s="23"/>
      <c r="U27" s="9"/>
    </row>
    <row r="28" spans="1:21" x14ac:dyDescent="0.4">
      <c r="A28" s="29">
        <f t="shared" ref="A28" si="27">A25+1</f>
        <v>45817</v>
      </c>
      <c r="B28" s="4" t="s">
        <v>3</v>
      </c>
      <c r="C28" s="5" t="s">
        <v>136</v>
      </c>
      <c r="D28" s="5" t="s">
        <v>51</v>
      </c>
      <c r="E28" s="6"/>
      <c r="F28" s="65">
        <v>9000</v>
      </c>
      <c r="G28" s="4" t="s">
        <v>3</v>
      </c>
      <c r="H28" s="2">
        <v>3000</v>
      </c>
      <c r="I28" s="23">
        <f t="shared" ref="I28" si="28">F28+H28+H29+H30</f>
        <v>21500</v>
      </c>
      <c r="J28" s="9"/>
      <c r="L28" s="29">
        <f t="shared" ref="L28" si="29">L25+1</f>
        <v>45833</v>
      </c>
      <c r="M28" s="4" t="s">
        <v>3</v>
      </c>
      <c r="N28" s="5" t="s">
        <v>218</v>
      </c>
      <c r="O28" s="5" t="s">
        <v>51</v>
      </c>
      <c r="P28" s="6"/>
      <c r="Q28" s="65">
        <v>9000</v>
      </c>
      <c r="R28" s="4" t="s">
        <v>3</v>
      </c>
      <c r="S28" s="2">
        <v>2500</v>
      </c>
      <c r="T28" s="23">
        <f t="shared" ref="T28" si="30">Q28+S28+S29+S30</f>
        <v>14500</v>
      </c>
      <c r="U28" s="9"/>
    </row>
    <row r="29" spans="1:21" x14ac:dyDescent="0.4">
      <c r="A29" s="29"/>
      <c r="B29" s="4" t="s">
        <v>4</v>
      </c>
      <c r="C29" s="5" t="s">
        <v>137</v>
      </c>
      <c r="D29" s="5" t="s">
        <v>51</v>
      </c>
      <c r="E29" s="6"/>
      <c r="F29" s="65"/>
      <c r="G29" s="4" t="s">
        <v>4</v>
      </c>
      <c r="H29" s="2">
        <v>9500</v>
      </c>
      <c r="I29" s="23"/>
      <c r="J29" s="9"/>
      <c r="L29" s="29"/>
      <c r="M29" s="4" t="s">
        <v>4</v>
      </c>
      <c r="N29" s="5" t="s">
        <v>219</v>
      </c>
      <c r="O29" s="5" t="s">
        <v>51</v>
      </c>
      <c r="P29" s="6"/>
      <c r="Q29" s="65"/>
      <c r="R29" s="4" t="s">
        <v>4</v>
      </c>
      <c r="S29" s="2">
        <v>3000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65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65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45818</v>
      </c>
      <c r="B31" s="4" t="s">
        <v>3</v>
      </c>
      <c r="C31" s="5" t="s">
        <v>136</v>
      </c>
      <c r="D31" s="5" t="s">
        <v>51</v>
      </c>
      <c r="E31" s="6"/>
      <c r="F31" s="65">
        <v>9000</v>
      </c>
      <c r="G31" s="4" t="s">
        <v>3</v>
      </c>
      <c r="H31" s="2">
        <v>3000</v>
      </c>
      <c r="I31" s="23">
        <f t="shared" ref="I31" si="32">F31+H31+H32+H33</f>
        <v>21500</v>
      </c>
      <c r="J31" s="9"/>
      <c r="L31" s="29">
        <f t="shared" ref="L31" si="33">L28+1</f>
        <v>45834</v>
      </c>
      <c r="M31" s="4" t="s">
        <v>3</v>
      </c>
      <c r="N31" s="5" t="s">
        <v>56</v>
      </c>
      <c r="O31" s="5" t="s">
        <v>51</v>
      </c>
      <c r="P31" s="6"/>
      <c r="Q31" s="65">
        <v>9000</v>
      </c>
      <c r="R31" s="4" t="s">
        <v>3</v>
      </c>
      <c r="S31" s="2">
        <v>3000</v>
      </c>
      <c r="T31" s="23">
        <f t="shared" ref="T31" si="34">Q31+S31+S32+S33</f>
        <v>24000</v>
      </c>
      <c r="U31" s="9"/>
    </row>
    <row r="32" spans="1:21" x14ac:dyDescent="0.4">
      <c r="A32" s="29"/>
      <c r="B32" s="4" t="s">
        <v>4</v>
      </c>
      <c r="C32" s="5" t="s">
        <v>137</v>
      </c>
      <c r="D32" s="5" t="s">
        <v>51</v>
      </c>
      <c r="E32" s="6"/>
      <c r="F32" s="65"/>
      <c r="G32" s="4" t="s">
        <v>4</v>
      </c>
      <c r="H32" s="2">
        <v>9500</v>
      </c>
      <c r="I32" s="23"/>
      <c r="J32" s="9"/>
      <c r="L32" s="29"/>
      <c r="M32" s="4" t="s">
        <v>4</v>
      </c>
      <c r="N32" s="5" t="s">
        <v>220</v>
      </c>
      <c r="O32" s="5" t="s">
        <v>51</v>
      </c>
      <c r="P32" s="6"/>
      <c r="Q32" s="65"/>
      <c r="R32" s="4" t="s">
        <v>4</v>
      </c>
      <c r="S32" s="2">
        <v>7500</v>
      </c>
      <c r="T32" s="23"/>
      <c r="U32" s="9" t="s">
        <v>158</v>
      </c>
    </row>
    <row r="33" spans="1:24" x14ac:dyDescent="0.4">
      <c r="A33" s="29"/>
      <c r="B33" s="4" t="s">
        <v>5</v>
      </c>
      <c r="C33" s="5"/>
      <c r="D33" s="5"/>
      <c r="E33" s="6"/>
      <c r="F33" s="65"/>
      <c r="G33" s="4" t="s">
        <v>5</v>
      </c>
      <c r="H33" s="2"/>
      <c r="I33" s="23"/>
      <c r="J33" s="9"/>
      <c r="L33" s="29"/>
      <c r="M33" s="4" t="s">
        <v>5</v>
      </c>
      <c r="N33" s="5" t="s">
        <v>54</v>
      </c>
      <c r="O33" s="5" t="s">
        <v>51</v>
      </c>
      <c r="P33" s="6"/>
      <c r="Q33" s="65"/>
      <c r="R33" s="4" t="s">
        <v>5</v>
      </c>
      <c r="S33" s="2">
        <v>4500</v>
      </c>
      <c r="T33" s="23"/>
      <c r="U33" s="9"/>
    </row>
    <row r="34" spans="1:24" x14ac:dyDescent="0.4">
      <c r="A34" s="29">
        <f t="shared" ref="A34" si="35">A31+1</f>
        <v>45819</v>
      </c>
      <c r="B34" s="4" t="s">
        <v>3</v>
      </c>
      <c r="C34" s="5" t="s">
        <v>136</v>
      </c>
      <c r="D34" s="5" t="s">
        <v>51</v>
      </c>
      <c r="E34" s="6"/>
      <c r="F34" s="65">
        <v>9000</v>
      </c>
      <c r="G34" s="4" t="s">
        <v>3</v>
      </c>
      <c r="H34" s="2">
        <v>3000</v>
      </c>
      <c r="I34" s="23">
        <f t="shared" ref="I34" si="36">F34+H34+H35+H36</f>
        <v>21500</v>
      </c>
      <c r="J34" s="9"/>
      <c r="L34" s="29">
        <f t="shared" ref="L34" si="37">L31+1</f>
        <v>45835</v>
      </c>
      <c r="M34" s="4" t="s">
        <v>3</v>
      </c>
      <c r="N34" s="5"/>
      <c r="O34" s="5"/>
      <c r="P34" s="6"/>
      <c r="Q34" s="23"/>
      <c r="R34" s="4" t="s">
        <v>3</v>
      </c>
      <c r="S34" s="2"/>
      <c r="T34" s="23">
        <f t="shared" ref="T34" si="38">Q34+S34+S35+S36</f>
        <v>0</v>
      </c>
      <c r="U34" s="9"/>
    </row>
    <row r="35" spans="1:24" x14ac:dyDescent="0.4">
      <c r="A35" s="29"/>
      <c r="B35" s="4" t="s">
        <v>4</v>
      </c>
      <c r="C35" s="5" t="s">
        <v>137</v>
      </c>
      <c r="D35" s="5" t="s">
        <v>51</v>
      </c>
      <c r="E35" s="6"/>
      <c r="F35" s="65"/>
      <c r="G35" s="4" t="s">
        <v>4</v>
      </c>
      <c r="H35" s="2">
        <v>9500</v>
      </c>
      <c r="I35" s="23"/>
      <c r="J35" s="9"/>
      <c r="L35" s="29"/>
      <c r="M35" s="4" t="s">
        <v>4</v>
      </c>
      <c r="N35" s="5" t="s">
        <v>48</v>
      </c>
      <c r="O35" s="5"/>
      <c r="P35" s="6"/>
      <c r="Q35" s="23"/>
      <c r="R35" s="4" t="s">
        <v>4</v>
      </c>
      <c r="S35" s="2"/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65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45820</v>
      </c>
      <c r="B37" s="4" t="s">
        <v>3</v>
      </c>
      <c r="C37" s="5" t="s">
        <v>136</v>
      </c>
      <c r="D37" s="5" t="s">
        <v>51</v>
      </c>
      <c r="E37" s="6"/>
      <c r="F37" s="65">
        <v>9000</v>
      </c>
      <c r="G37" s="4" t="s">
        <v>3</v>
      </c>
      <c r="H37" s="2">
        <v>3000</v>
      </c>
      <c r="I37" s="23">
        <f t="shared" ref="I37" si="40">F37+H37+H38+H39</f>
        <v>21500</v>
      </c>
      <c r="J37" s="9"/>
      <c r="L37" s="29">
        <f t="shared" ref="L37" si="41">L34+1</f>
        <v>45836</v>
      </c>
      <c r="M37" s="4" t="s">
        <v>3</v>
      </c>
      <c r="N37" s="5" t="s">
        <v>200</v>
      </c>
      <c r="O37" s="5" t="s">
        <v>51</v>
      </c>
      <c r="P37" s="6"/>
      <c r="Q37" s="65">
        <v>9000</v>
      </c>
      <c r="R37" s="4" t="s">
        <v>3</v>
      </c>
      <c r="S37" s="2">
        <v>3000</v>
      </c>
      <c r="T37" s="23">
        <f t="shared" ref="T37" si="42">Q37+S37+S38+S39</f>
        <v>21000</v>
      </c>
      <c r="U37" s="9"/>
      <c r="X37">
        <f>N50</f>
        <v>10000</v>
      </c>
    </row>
    <row r="38" spans="1:24" x14ac:dyDescent="0.4">
      <c r="A38" s="29"/>
      <c r="B38" s="4" t="s">
        <v>4</v>
      </c>
      <c r="C38" s="5" t="s">
        <v>137</v>
      </c>
      <c r="D38" s="5" t="s">
        <v>51</v>
      </c>
      <c r="E38" s="6"/>
      <c r="F38" s="65"/>
      <c r="G38" s="4" t="s">
        <v>4</v>
      </c>
      <c r="H38" s="2">
        <v>9500</v>
      </c>
      <c r="I38" s="23"/>
      <c r="J38" s="9"/>
      <c r="L38" s="29"/>
      <c r="M38" s="4" t="s">
        <v>4</v>
      </c>
      <c r="N38" s="5" t="s">
        <v>221</v>
      </c>
      <c r="O38" s="5" t="s">
        <v>19</v>
      </c>
      <c r="P38" s="6"/>
      <c r="Q38" s="65"/>
      <c r="R38" s="4" t="s">
        <v>4</v>
      </c>
      <c r="S38" s="2">
        <v>4500</v>
      </c>
      <c r="T38" s="23"/>
      <c r="U38" s="9"/>
      <c r="X38">
        <f>O50</f>
        <v>212000</v>
      </c>
    </row>
    <row r="39" spans="1:24" x14ac:dyDescent="0.4">
      <c r="A39" s="29"/>
      <c r="B39" s="4" t="s">
        <v>5</v>
      </c>
      <c r="C39" s="5"/>
      <c r="D39" s="5"/>
      <c r="E39" s="6"/>
      <c r="F39" s="65"/>
      <c r="G39" s="4" t="s">
        <v>5</v>
      </c>
      <c r="H39" s="2"/>
      <c r="I39" s="23"/>
      <c r="J39" s="9"/>
      <c r="L39" s="29"/>
      <c r="M39" s="4" t="s">
        <v>5</v>
      </c>
      <c r="N39" s="5" t="s">
        <v>222</v>
      </c>
      <c r="O39" s="5" t="s">
        <v>19</v>
      </c>
      <c r="P39" s="6"/>
      <c r="Q39" s="65"/>
      <c r="R39" s="4" t="s">
        <v>5</v>
      </c>
      <c r="S39" s="2">
        <v>4500</v>
      </c>
      <c r="T39" s="23"/>
      <c r="U39" s="9"/>
      <c r="X39">
        <f>S50</f>
        <v>281500</v>
      </c>
    </row>
    <row r="40" spans="1:24" x14ac:dyDescent="0.4">
      <c r="A40" s="29">
        <f t="shared" ref="A40" si="43">A37+1</f>
        <v>45821</v>
      </c>
      <c r="B40" s="4" t="s">
        <v>3</v>
      </c>
      <c r="C40" s="5" t="s">
        <v>136</v>
      </c>
      <c r="D40" s="5" t="s">
        <v>51</v>
      </c>
      <c r="E40" s="6"/>
      <c r="F40" s="65">
        <v>9000</v>
      </c>
      <c r="G40" s="4" t="s">
        <v>3</v>
      </c>
      <c r="H40" s="2">
        <v>3000</v>
      </c>
      <c r="I40" s="23">
        <f t="shared" ref="I40" si="44">F40+H40+H41+H42</f>
        <v>21500</v>
      </c>
      <c r="J40" s="9"/>
      <c r="L40" s="29">
        <f t="shared" ref="L40" si="45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6">Q40+S40+S41+S42</f>
        <v>0</v>
      </c>
      <c r="U40" s="9"/>
      <c r="X40">
        <f ca="1">U50</f>
        <v>0</v>
      </c>
    </row>
    <row r="41" spans="1:24" x14ac:dyDescent="0.4">
      <c r="A41" s="29"/>
      <c r="B41" s="4" t="s">
        <v>4</v>
      </c>
      <c r="C41" s="5" t="s">
        <v>137</v>
      </c>
      <c r="D41" s="5" t="s">
        <v>51</v>
      </c>
      <c r="E41" s="6"/>
      <c r="F41" s="65"/>
      <c r="G41" s="4" t="s">
        <v>4</v>
      </c>
      <c r="H41" s="2">
        <v>9500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0</v>
      </c>
    </row>
    <row r="42" spans="1:24" x14ac:dyDescent="0.4">
      <c r="A42" s="29"/>
      <c r="B42" s="4" t="s">
        <v>5</v>
      </c>
      <c r="C42" s="5"/>
      <c r="D42" s="5"/>
      <c r="E42" s="6"/>
      <c r="F42" s="65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0</v>
      </c>
    </row>
    <row r="43" spans="1:24" x14ac:dyDescent="0.4">
      <c r="A43" s="29">
        <f t="shared" ref="A43" si="47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8">F43+H43+H44+H45</f>
        <v>0</v>
      </c>
      <c r="J43" s="9"/>
      <c r="L43" s="29">
        <f t="shared" ref="L43" si="49">L40+1</f>
        <v>45838</v>
      </c>
      <c r="M43" s="4" t="s">
        <v>3</v>
      </c>
      <c r="N43" s="5" t="s">
        <v>223</v>
      </c>
      <c r="O43" s="5" t="s">
        <v>51</v>
      </c>
      <c r="P43" s="6"/>
      <c r="Q43" s="65">
        <v>9000</v>
      </c>
      <c r="R43" s="4" t="s">
        <v>3</v>
      </c>
      <c r="S43" s="2">
        <v>3000</v>
      </c>
      <c r="T43" s="23">
        <f t="shared" ref="T43" si="50">Q43+S43+S44+S45</f>
        <v>21000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221</v>
      </c>
      <c r="O44" s="5" t="s">
        <v>19</v>
      </c>
      <c r="P44" s="6"/>
      <c r="Q44" s="65"/>
      <c r="R44" s="4" t="s">
        <v>4</v>
      </c>
      <c r="S44" s="2">
        <v>4500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 t="s">
        <v>222</v>
      </c>
      <c r="O45" s="5" t="s">
        <v>19</v>
      </c>
      <c r="P45" s="6"/>
      <c r="Q45" s="65"/>
      <c r="R45" s="4" t="s">
        <v>5</v>
      </c>
      <c r="S45" s="2">
        <v>4500</v>
      </c>
      <c r="T45" s="23"/>
      <c r="U45" s="9"/>
    </row>
    <row r="46" spans="1:24" x14ac:dyDescent="0.4">
      <c r="A46" s="29">
        <f t="shared" ref="A46" si="51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2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3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4">A46+1</f>
        <v>45824</v>
      </c>
      <c r="B49" s="4" t="s">
        <v>3</v>
      </c>
      <c r="C49" s="5" t="s">
        <v>204</v>
      </c>
      <c r="D49" s="5" t="s">
        <v>51</v>
      </c>
      <c r="E49" s="6"/>
      <c r="F49" s="23">
        <v>9000</v>
      </c>
      <c r="G49" s="4" t="s">
        <v>3</v>
      </c>
      <c r="H49" s="2">
        <v>6500</v>
      </c>
      <c r="I49" s="23">
        <f t="shared" ref="I49" si="55">F49+H49+H50+H51</f>
        <v>22000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139</v>
      </c>
      <c r="D50" s="5" t="s">
        <v>51</v>
      </c>
      <c r="E50" s="6"/>
      <c r="F50" s="23"/>
      <c r="G50" s="4" t="s">
        <v>4</v>
      </c>
      <c r="H50" s="2">
        <v>6500</v>
      </c>
      <c r="I50" s="23"/>
      <c r="J50" s="9"/>
      <c r="L50" s="27">
        <f>W7</f>
        <v>23</v>
      </c>
      <c r="M50" s="28" t="s">
        <v>12</v>
      </c>
      <c r="N50" s="23">
        <f>MAX((L50-21)*5000,0)</f>
        <v>10000</v>
      </c>
      <c r="O50" s="31">
        <f>SUM(F4:F51,Q4:Q48)</f>
        <v>212000</v>
      </c>
      <c r="P50" s="31"/>
      <c r="Q50" s="31"/>
      <c r="R50" s="31"/>
      <c r="S50" s="23">
        <f>SUM(H4:H51,S4:S48)</f>
        <v>281500</v>
      </c>
      <c r="T50" s="23"/>
      <c r="U50" s="22">
        <f ca="1">IF(U50="","0",U50)</f>
        <v>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47</v>
      </c>
      <c r="I53" s="23"/>
      <c r="J53" s="41">
        <v>46054</v>
      </c>
      <c r="L53" s="47" t="s">
        <v>33</v>
      </c>
      <c r="M53" s="48"/>
      <c r="N53" s="48"/>
      <c r="O53" s="48"/>
      <c r="P53" s="19"/>
      <c r="Q53" s="31">
        <v>0</v>
      </c>
      <c r="R53" s="31"/>
      <c r="S53" s="23">
        <v>0</v>
      </c>
      <c r="T53" s="23"/>
      <c r="U53" s="39">
        <f>SUM(X37:X39)</f>
        <v>503500</v>
      </c>
    </row>
    <row r="54" spans="1:21" ht="19.5" customHeight="1" thickBot="1" x14ac:dyDescent="0.45">
      <c r="H54" s="27"/>
      <c r="I54" s="23"/>
      <c r="J54" s="22"/>
      <c r="L54" s="49"/>
      <c r="M54" s="50"/>
      <c r="N54" s="50"/>
      <c r="O54" s="50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51"/>
      <c r="M55" s="52"/>
      <c r="N55" s="52"/>
      <c r="O55" s="52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" xr:uid="{21732937-1C36-4286-AF3F-14B03660571F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6D1F-9999-48BE-95D7-DABD22D26AEF}">
  <sheetPr>
    <pageSetUpPr fitToPage="1"/>
  </sheetPr>
  <dimension ref="A1:X56"/>
  <sheetViews>
    <sheetView topLeftCell="A33" workbookViewId="0">
      <selection activeCell="L53" sqref="L53:O55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 t="s">
        <v>235</v>
      </c>
      <c r="O4" s="5" t="s">
        <v>51</v>
      </c>
      <c r="P4" s="6"/>
      <c r="Q4" s="23">
        <v>9000</v>
      </c>
      <c r="R4" s="4" t="s">
        <v>3</v>
      </c>
      <c r="S4" s="2">
        <v>14000</v>
      </c>
      <c r="T4" s="23">
        <f t="shared" ref="T4" si="0">Q4+S4+S5+S6</f>
        <v>23000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/>
      <c r="O5" s="5"/>
      <c r="P5" s="6"/>
      <c r="Q5" s="23"/>
      <c r="R5" s="4" t="s">
        <v>4</v>
      </c>
      <c r="S5" s="2"/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224</v>
      </c>
      <c r="D7" s="5" t="s">
        <v>51</v>
      </c>
      <c r="E7" s="6"/>
      <c r="F7" s="23">
        <v>9000</v>
      </c>
      <c r="G7" s="4" t="s">
        <v>3</v>
      </c>
      <c r="H7" s="2">
        <v>15500</v>
      </c>
      <c r="I7" s="23">
        <f>F7+H7+H8+H9</f>
        <v>24500</v>
      </c>
      <c r="J7" s="9"/>
      <c r="L7" s="29">
        <f>L4+1</f>
        <v>45826</v>
      </c>
      <c r="M7" s="4" t="s">
        <v>3</v>
      </c>
      <c r="N7" s="5" t="s">
        <v>225</v>
      </c>
      <c r="O7" s="5" t="s">
        <v>51</v>
      </c>
      <c r="P7" s="6"/>
      <c r="Q7" s="23">
        <v>9000</v>
      </c>
      <c r="R7" s="4" t="s">
        <v>3</v>
      </c>
      <c r="S7" s="2">
        <v>14000</v>
      </c>
      <c r="T7" s="23">
        <f>Q7+S7+S8+S9</f>
        <v>23000</v>
      </c>
      <c r="U7" s="9"/>
      <c r="W7">
        <f>COUNT(F4:F51,Q4:Q48)</f>
        <v>21</v>
      </c>
    </row>
    <row r="8" spans="1:23" x14ac:dyDescent="0.4">
      <c r="A8" s="29"/>
      <c r="B8" s="4" t="s">
        <v>4</v>
      </c>
      <c r="C8" s="5"/>
      <c r="D8" s="5"/>
      <c r="E8" s="6"/>
      <c r="F8" s="23"/>
      <c r="G8" s="4" t="s">
        <v>4</v>
      </c>
      <c r="H8" s="2"/>
      <c r="I8" s="23"/>
      <c r="J8" s="9"/>
      <c r="L8" s="29"/>
      <c r="M8" s="4" t="s">
        <v>4</v>
      </c>
      <c r="N8" s="5"/>
      <c r="O8" s="5"/>
      <c r="P8" s="6"/>
      <c r="Q8" s="23"/>
      <c r="R8" s="4" t="s">
        <v>4</v>
      </c>
      <c r="S8" s="2"/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1">A7+1</f>
        <v>45811</v>
      </c>
      <c r="B10" s="4" t="s">
        <v>3</v>
      </c>
      <c r="C10" s="5" t="s">
        <v>226</v>
      </c>
      <c r="D10" s="5" t="s">
        <v>51</v>
      </c>
      <c r="E10" s="6"/>
      <c r="F10" s="23">
        <v>9000</v>
      </c>
      <c r="G10" s="4" t="s">
        <v>3</v>
      </c>
      <c r="H10" s="2">
        <v>15500</v>
      </c>
      <c r="I10" s="23">
        <f>F10+H10+H11+H12</f>
        <v>24500</v>
      </c>
      <c r="J10" s="9"/>
      <c r="L10" s="29">
        <f t="shared" ref="L10" si="2">L7+1</f>
        <v>45827</v>
      </c>
      <c r="M10" s="4" t="s">
        <v>3</v>
      </c>
      <c r="N10" s="5" t="s">
        <v>236</v>
      </c>
      <c r="O10" s="5" t="s">
        <v>51</v>
      </c>
      <c r="P10" s="6"/>
      <c r="Q10" s="23">
        <v>9000</v>
      </c>
      <c r="R10" s="4" t="s">
        <v>3</v>
      </c>
      <c r="S10" s="2">
        <v>14000</v>
      </c>
      <c r="T10" s="23">
        <f t="shared" ref="T10" si="3">Q10+S10+S11+S12</f>
        <v>23000</v>
      </c>
      <c r="U10" s="9"/>
    </row>
    <row r="11" spans="1:23" x14ac:dyDescent="0.4">
      <c r="A11" s="29"/>
      <c r="B11" s="4" t="s">
        <v>4</v>
      </c>
      <c r="C11" s="5"/>
      <c r="D11" s="5"/>
      <c r="E11" s="6"/>
      <c r="F11" s="23"/>
      <c r="G11" s="4" t="s">
        <v>4</v>
      </c>
      <c r="H11" s="2"/>
      <c r="I11" s="23"/>
      <c r="J11" s="9"/>
      <c r="L11" s="29"/>
      <c r="M11" s="4" t="s">
        <v>4</v>
      </c>
      <c r="N11" s="5"/>
      <c r="O11" s="5"/>
      <c r="P11" s="6"/>
      <c r="Q11" s="23"/>
      <c r="R11" s="4" t="s">
        <v>4</v>
      </c>
      <c r="S11" s="2"/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4">A10+1</f>
        <v>45812</v>
      </c>
      <c r="B13" s="4" t="s">
        <v>3</v>
      </c>
      <c r="C13" s="5" t="s">
        <v>225</v>
      </c>
      <c r="D13" s="5" t="s">
        <v>51</v>
      </c>
      <c r="E13" s="6"/>
      <c r="F13" s="23">
        <v>9000</v>
      </c>
      <c r="G13" s="4" t="s">
        <v>3</v>
      </c>
      <c r="H13" s="2">
        <v>14000</v>
      </c>
      <c r="I13" s="23">
        <f>F13+H13+H14+H15</f>
        <v>23000</v>
      </c>
      <c r="J13" s="9"/>
      <c r="L13" s="29">
        <f t="shared" ref="L13" si="5">L10+1</f>
        <v>45828</v>
      </c>
      <c r="M13" s="4" t="s">
        <v>3</v>
      </c>
      <c r="N13" s="5" t="s">
        <v>237</v>
      </c>
      <c r="O13" s="5" t="s">
        <v>51</v>
      </c>
      <c r="P13" s="6"/>
      <c r="Q13" s="23">
        <v>9000</v>
      </c>
      <c r="R13" s="4" t="s">
        <v>3</v>
      </c>
      <c r="S13" s="2">
        <v>4000</v>
      </c>
      <c r="T13" s="23">
        <f t="shared" ref="T13" si="6">Q13+S13+S14+S15</f>
        <v>16000</v>
      </c>
      <c r="U13" s="9"/>
    </row>
    <row r="14" spans="1:23" x14ac:dyDescent="0.4">
      <c r="A14" s="29"/>
      <c r="B14" s="4" t="s">
        <v>4</v>
      </c>
      <c r="C14" s="5"/>
      <c r="D14" s="5"/>
      <c r="E14" s="6"/>
      <c r="F14" s="23"/>
      <c r="G14" s="4" t="s">
        <v>4</v>
      </c>
      <c r="H14" s="2"/>
      <c r="I14" s="23"/>
      <c r="J14" s="9"/>
      <c r="L14" s="29"/>
      <c r="M14" s="4" t="s">
        <v>4</v>
      </c>
      <c r="N14" s="5" t="s">
        <v>212</v>
      </c>
      <c r="O14" s="5" t="s">
        <v>51</v>
      </c>
      <c r="P14" s="6"/>
      <c r="Q14" s="23"/>
      <c r="R14" s="4" t="s">
        <v>4</v>
      </c>
      <c r="S14" s="2">
        <v>3000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7">A13+1</f>
        <v>45813</v>
      </c>
      <c r="B16" s="4" t="s">
        <v>3</v>
      </c>
      <c r="C16" s="5" t="s">
        <v>227</v>
      </c>
      <c r="D16" s="5" t="s">
        <v>51</v>
      </c>
      <c r="E16" s="6"/>
      <c r="F16" s="23">
        <v>9000</v>
      </c>
      <c r="G16" s="4" t="s">
        <v>3</v>
      </c>
      <c r="H16" s="2">
        <v>15500</v>
      </c>
      <c r="I16" s="23">
        <f t="shared" ref="I16" si="8">F16+H16+H17+H18</f>
        <v>24500</v>
      </c>
      <c r="J16" s="9"/>
      <c r="L16" s="29">
        <f t="shared" ref="L16" si="9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0">Q16+S16+S17+S18</f>
        <v>0</v>
      </c>
      <c r="U16" s="9"/>
    </row>
    <row r="17" spans="1:21" x14ac:dyDescent="0.4">
      <c r="A17" s="29"/>
      <c r="B17" s="4" t="s">
        <v>4</v>
      </c>
      <c r="C17" s="5"/>
      <c r="D17" s="5"/>
      <c r="E17" s="6"/>
      <c r="F17" s="23"/>
      <c r="G17" s="4" t="s">
        <v>4</v>
      </c>
      <c r="H17" s="2"/>
      <c r="I17" s="23"/>
      <c r="J17" s="9"/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1">A16+1</f>
        <v>45814</v>
      </c>
      <c r="B19" s="4" t="s">
        <v>3</v>
      </c>
      <c r="C19" s="5" t="s">
        <v>228</v>
      </c>
      <c r="D19" s="5" t="s">
        <v>19</v>
      </c>
      <c r="E19" s="6"/>
      <c r="F19" s="23">
        <v>9000</v>
      </c>
      <c r="G19" s="4" t="s">
        <v>3</v>
      </c>
      <c r="H19" s="2">
        <v>3000</v>
      </c>
      <c r="I19" s="23">
        <f t="shared" ref="I19" si="12">F19+H19+H20+H21</f>
        <v>15000</v>
      </c>
      <c r="J19" s="9"/>
      <c r="L19" s="29">
        <f t="shared" ref="L19" si="13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4">Q19+S19+S20+S21</f>
        <v>0</v>
      </c>
      <c r="U19" s="9"/>
    </row>
    <row r="20" spans="1:21" x14ac:dyDescent="0.4">
      <c r="A20" s="29"/>
      <c r="B20" s="4" t="s">
        <v>4</v>
      </c>
      <c r="C20" s="5" t="s">
        <v>229</v>
      </c>
      <c r="D20" s="5" t="s">
        <v>19</v>
      </c>
      <c r="E20" s="6"/>
      <c r="F20" s="23"/>
      <c r="G20" s="4" t="s">
        <v>4</v>
      </c>
      <c r="H20" s="2">
        <v>3000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5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16">F22+H22+H23+H24</f>
        <v>0</v>
      </c>
      <c r="J22" s="9"/>
      <c r="L22" s="29">
        <f t="shared" ref="L22" si="17">L19+1</f>
        <v>45831</v>
      </c>
      <c r="M22" s="4" t="s">
        <v>3</v>
      </c>
      <c r="N22" s="5" t="s">
        <v>238</v>
      </c>
      <c r="O22" s="5" t="s">
        <v>51</v>
      </c>
      <c r="P22" s="6"/>
      <c r="Q22" s="23">
        <v>9000</v>
      </c>
      <c r="R22" s="4" t="s">
        <v>3</v>
      </c>
      <c r="S22" s="2">
        <v>3000</v>
      </c>
      <c r="T22" s="23">
        <f t="shared" ref="T22" si="18">Q22+S22+S23+S24</f>
        <v>26000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225</v>
      </c>
      <c r="O23" s="5" t="s">
        <v>51</v>
      </c>
      <c r="P23" s="6"/>
      <c r="Q23" s="23"/>
      <c r="R23" s="4" t="s">
        <v>4</v>
      </c>
      <c r="S23" s="2">
        <v>14000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19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0">F25+H25+H26+H27</f>
        <v>0</v>
      </c>
      <c r="J25" s="9"/>
      <c r="L25" s="29">
        <f t="shared" ref="L25" si="21">L22+1</f>
        <v>45832</v>
      </c>
      <c r="M25" s="4" t="s">
        <v>3</v>
      </c>
      <c r="N25" s="5" t="s">
        <v>239</v>
      </c>
      <c r="O25" s="5" t="s">
        <v>51</v>
      </c>
      <c r="P25" s="6"/>
      <c r="Q25" s="23">
        <v>9000</v>
      </c>
      <c r="R25" s="4" t="s">
        <v>3</v>
      </c>
      <c r="S25" s="2">
        <v>14000</v>
      </c>
      <c r="T25" s="23">
        <f t="shared" ref="T25" si="22">Q25+S25+S26+S27</f>
        <v>23000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/>
      <c r="O26" s="5"/>
      <c r="P26" s="6"/>
      <c r="Q26" s="23"/>
      <c r="R26" s="4" t="s">
        <v>4</v>
      </c>
      <c r="S26" s="2"/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3">A25+1</f>
        <v>45817</v>
      </c>
      <c r="B28" s="4" t="s">
        <v>3</v>
      </c>
      <c r="C28" s="5" t="s">
        <v>230</v>
      </c>
      <c r="D28" s="5" t="s">
        <v>51</v>
      </c>
      <c r="E28" s="6"/>
      <c r="F28" s="23">
        <v>9000</v>
      </c>
      <c r="G28" s="4" t="s">
        <v>3</v>
      </c>
      <c r="H28" s="2">
        <v>15500</v>
      </c>
      <c r="I28" s="23">
        <f t="shared" ref="I28" si="24">F28+H28+H29+H30</f>
        <v>24500</v>
      </c>
      <c r="J28" s="9"/>
      <c r="L28" s="29">
        <f t="shared" ref="L28" si="25">L25+1</f>
        <v>45833</v>
      </c>
      <c r="M28" s="4" t="s">
        <v>3</v>
      </c>
      <c r="N28" s="5" t="s">
        <v>200</v>
      </c>
      <c r="O28" s="5" t="s">
        <v>51</v>
      </c>
      <c r="P28" s="6"/>
      <c r="Q28" s="23">
        <v>9000</v>
      </c>
      <c r="R28" s="4" t="s">
        <v>3</v>
      </c>
      <c r="S28" s="2">
        <v>3000</v>
      </c>
      <c r="T28" s="23">
        <f t="shared" ref="T28" si="26">Q28+S28+S29+S30</f>
        <v>26000</v>
      </c>
      <c r="U28" s="9"/>
    </row>
    <row r="29" spans="1:21" x14ac:dyDescent="0.4">
      <c r="A29" s="29"/>
      <c r="B29" s="4" t="s">
        <v>4</v>
      </c>
      <c r="C29" s="5"/>
      <c r="D29" s="5"/>
      <c r="E29" s="6"/>
      <c r="F29" s="23"/>
      <c r="G29" s="4" t="s">
        <v>4</v>
      </c>
      <c r="H29" s="2"/>
      <c r="I29" s="23"/>
      <c r="J29" s="9"/>
      <c r="L29" s="29"/>
      <c r="M29" s="4" t="s">
        <v>4</v>
      </c>
      <c r="N29" s="5" t="s">
        <v>225</v>
      </c>
      <c r="O29" s="5" t="s">
        <v>51</v>
      </c>
      <c r="P29" s="6"/>
      <c r="Q29" s="23"/>
      <c r="R29" s="4" t="s">
        <v>4</v>
      </c>
      <c r="S29" s="2">
        <v>14000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27">A28+1</f>
        <v>45818</v>
      </c>
      <c r="B31" s="4" t="s">
        <v>3</v>
      </c>
      <c r="C31" s="5" t="s">
        <v>231</v>
      </c>
      <c r="D31" s="5" t="s">
        <v>51</v>
      </c>
      <c r="E31" s="6"/>
      <c r="F31" s="23">
        <v>9000</v>
      </c>
      <c r="G31" s="4" t="s">
        <v>3</v>
      </c>
      <c r="H31" s="2">
        <v>15500</v>
      </c>
      <c r="I31" s="23">
        <f t="shared" ref="I31" si="28">F31+H31+H32+H33</f>
        <v>24500</v>
      </c>
      <c r="J31" s="9"/>
      <c r="L31" s="29">
        <f t="shared" ref="L31" si="29">L28+1</f>
        <v>45834</v>
      </c>
      <c r="M31" s="4" t="s">
        <v>3</v>
      </c>
      <c r="N31" s="5" t="s">
        <v>241</v>
      </c>
      <c r="O31" s="5" t="s">
        <v>51</v>
      </c>
      <c r="P31" s="6"/>
      <c r="Q31" s="23">
        <v>9000</v>
      </c>
      <c r="R31" s="4" t="s">
        <v>3</v>
      </c>
      <c r="S31" s="2">
        <v>14000</v>
      </c>
      <c r="T31" s="23">
        <f t="shared" ref="T31" si="30">Q31+S31+S32+S33</f>
        <v>23000</v>
      </c>
      <c r="U31" s="9"/>
    </row>
    <row r="32" spans="1:21" x14ac:dyDescent="0.4">
      <c r="A32" s="29"/>
      <c r="B32" s="4" t="s">
        <v>4</v>
      </c>
      <c r="C32" s="5"/>
      <c r="D32" s="5"/>
      <c r="E32" s="6"/>
      <c r="F32" s="23"/>
      <c r="G32" s="4" t="s">
        <v>4</v>
      </c>
      <c r="H32" s="2"/>
      <c r="I32" s="23"/>
      <c r="J32" s="9"/>
      <c r="L32" s="29"/>
      <c r="M32" s="4" t="s">
        <v>4</v>
      </c>
      <c r="N32" s="5"/>
      <c r="O32" s="5"/>
      <c r="P32" s="6"/>
      <c r="Q32" s="23"/>
      <c r="R32" s="4" t="s">
        <v>4</v>
      </c>
      <c r="S32" s="2"/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1">A31+1</f>
        <v>45819</v>
      </c>
      <c r="B34" s="4" t="s">
        <v>3</v>
      </c>
      <c r="C34" s="5" t="s">
        <v>225</v>
      </c>
      <c r="D34" s="5" t="s">
        <v>51</v>
      </c>
      <c r="E34" s="6"/>
      <c r="F34" s="23">
        <v>9000</v>
      </c>
      <c r="G34" s="4" t="s">
        <v>3</v>
      </c>
      <c r="H34" s="2">
        <v>14000</v>
      </c>
      <c r="I34" s="23">
        <f>F34+H34+H35+H36</f>
        <v>23000</v>
      </c>
      <c r="J34" s="9"/>
      <c r="L34" s="29">
        <f t="shared" ref="L34" si="32">L31+1</f>
        <v>45835</v>
      </c>
      <c r="M34" s="4" t="s">
        <v>3</v>
      </c>
      <c r="N34" s="5" t="s">
        <v>242</v>
      </c>
      <c r="O34" s="5" t="s">
        <v>51</v>
      </c>
      <c r="P34" s="6"/>
      <c r="Q34" s="23">
        <v>9000</v>
      </c>
      <c r="R34" s="4" t="s">
        <v>3</v>
      </c>
      <c r="S34" s="2">
        <v>3000</v>
      </c>
      <c r="T34" s="23">
        <f t="shared" ref="T34" si="33">Q34+S34+S35+S36</f>
        <v>15500</v>
      </c>
      <c r="U34" s="9"/>
    </row>
    <row r="35" spans="1:24" x14ac:dyDescent="0.4">
      <c r="A35" s="29"/>
      <c r="B35" s="4" t="s">
        <v>4</v>
      </c>
      <c r="C35" s="5"/>
      <c r="D35" s="5"/>
      <c r="E35" s="6"/>
      <c r="F35" s="23"/>
      <c r="G35" s="4" t="s">
        <v>4</v>
      </c>
      <c r="H35" s="2"/>
      <c r="I35" s="23"/>
      <c r="J35" s="9"/>
      <c r="L35" s="29"/>
      <c r="M35" s="4" t="s">
        <v>4</v>
      </c>
      <c r="N35" s="5" t="s">
        <v>243</v>
      </c>
      <c r="O35" s="5" t="s">
        <v>51</v>
      </c>
      <c r="P35" s="6"/>
      <c r="Q35" s="23"/>
      <c r="R35" s="4" t="s">
        <v>4</v>
      </c>
      <c r="S35" s="2">
        <v>3500</v>
      </c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4">A34+1</f>
        <v>45820</v>
      </c>
      <c r="B37" s="4" t="s">
        <v>3</v>
      </c>
      <c r="C37" s="5" t="s">
        <v>232</v>
      </c>
      <c r="D37" s="5" t="s">
        <v>51</v>
      </c>
      <c r="E37" s="6"/>
      <c r="F37" s="23">
        <v>9000</v>
      </c>
      <c r="G37" s="4" t="s">
        <v>3</v>
      </c>
      <c r="H37" s="2">
        <v>14000</v>
      </c>
      <c r="I37" s="23">
        <f t="shared" ref="I37" si="35">F37+H37+H38+H39</f>
        <v>23000</v>
      </c>
      <c r="J37" s="9"/>
      <c r="L37" s="29">
        <f t="shared" ref="L37" si="36">L34+1</f>
        <v>45836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37">Q37+S37+S38+S39</f>
        <v>0</v>
      </c>
      <c r="U37" s="9"/>
      <c r="X37">
        <f>N50</f>
        <v>0</v>
      </c>
    </row>
    <row r="38" spans="1:24" x14ac:dyDescent="0.4">
      <c r="A38" s="29"/>
      <c r="B38" s="4" t="s">
        <v>4</v>
      </c>
      <c r="C38" s="5"/>
      <c r="D38" s="5"/>
      <c r="E38" s="6"/>
      <c r="F38" s="23"/>
      <c r="G38" s="4" t="s">
        <v>4</v>
      </c>
      <c r="H38" s="2"/>
      <c r="I38" s="23"/>
      <c r="J38" s="9"/>
      <c r="L38" s="29"/>
      <c r="M38" s="4" t="s">
        <v>4</v>
      </c>
      <c r="N38" s="5" t="s">
        <v>48</v>
      </c>
      <c r="O38" s="5"/>
      <c r="P38" s="6"/>
      <c r="Q38" s="23"/>
      <c r="R38" s="4" t="s">
        <v>4</v>
      </c>
      <c r="S38" s="2"/>
      <c r="T38" s="23"/>
      <c r="U38" s="9"/>
      <c r="X38">
        <f>O50</f>
        <v>189000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281500</v>
      </c>
    </row>
    <row r="40" spans="1:24" x14ac:dyDescent="0.4">
      <c r="A40" s="29">
        <f t="shared" ref="A40" si="38">A37+1</f>
        <v>45821</v>
      </c>
      <c r="B40" s="4" t="s">
        <v>3</v>
      </c>
      <c r="C40" s="5" t="s">
        <v>233</v>
      </c>
      <c r="D40" s="5" t="s">
        <v>19</v>
      </c>
      <c r="E40" s="6"/>
      <c r="F40" s="23">
        <v>9000</v>
      </c>
      <c r="G40" s="4" t="s">
        <v>3</v>
      </c>
      <c r="H40" s="2">
        <v>3000</v>
      </c>
      <c r="I40" s="23">
        <f>F40+H40+H41+H42</f>
        <v>16500</v>
      </c>
      <c r="J40" s="9"/>
      <c r="L40" s="29">
        <f t="shared" ref="L40" si="39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0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234</v>
      </c>
      <c r="D41" s="5" t="s">
        <v>51</v>
      </c>
      <c r="E41" s="6"/>
      <c r="F41" s="23"/>
      <c r="G41" s="4" t="s">
        <v>4</v>
      </c>
      <c r="H41" s="2">
        <v>4500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15000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1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2">F43+H43+H44+H45</f>
        <v>0</v>
      </c>
      <c r="J43" s="9"/>
      <c r="L43" s="29">
        <f t="shared" ref="L43" si="43">L40+1</f>
        <v>45838</v>
      </c>
      <c r="M43" s="4" t="s">
        <v>3</v>
      </c>
      <c r="N43" s="5" t="s">
        <v>200</v>
      </c>
      <c r="O43" s="5" t="s">
        <v>51</v>
      </c>
      <c r="P43" s="6"/>
      <c r="Q43" s="23">
        <v>9000</v>
      </c>
      <c r="R43" s="4" t="s">
        <v>3</v>
      </c>
      <c r="S43" s="2">
        <v>3000</v>
      </c>
      <c r="T43" s="23">
        <f t="shared" ref="T43" si="44">Q43+S43+S44+S45</f>
        <v>26000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225</v>
      </c>
      <c r="O44" s="5" t="s">
        <v>51</v>
      </c>
      <c r="P44" s="6"/>
      <c r="Q44" s="23"/>
      <c r="R44" s="4" t="s">
        <v>4</v>
      </c>
      <c r="S44" s="2">
        <v>14000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45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46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47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48">A46+1</f>
        <v>45824</v>
      </c>
      <c r="B49" s="4" t="s">
        <v>3</v>
      </c>
      <c r="C49" s="5" t="s">
        <v>225</v>
      </c>
      <c r="D49" s="5" t="s">
        <v>51</v>
      </c>
      <c r="E49" s="6"/>
      <c r="F49" s="23">
        <v>9000</v>
      </c>
      <c r="G49" s="4" t="s">
        <v>3</v>
      </c>
      <c r="H49" s="2">
        <v>14000</v>
      </c>
      <c r="I49" s="23">
        <f t="shared" ref="I49" si="49">F49+H49+H50+H51</f>
        <v>23000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/>
      <c r="D50" s="5"/>
      <c r="E50" s="6"/>
      <c r="F50" s="23"/>
      <c r="G50" s="4" t="s">
        <v>4</v>
      </c>
      <c r="H50" s="2"/>
      <c r="I50" s="23"/>
      <c r="J50" s="9"/>
      <c r="L50" s="27">
        <f>W7</f>
        <v>21</v>
      </c>
      <c r="M50" s="28" t="s">
        <v>12</v>
      </c>
      <c r="N50" s="23">
        <f>MAX((L50-21)*5000,0)</f>
        <v>0</v>
      </c>
      <c r="O50" s="31">
        <f>SUM(F4:F51,Q4:Q48)</f>
        <v>189000</v>
      </c>
      <c r="P50" s="31"/>
      <c r="Q50" s="31"/>
      <c r="R50" s="31"/>
      <c r="S50" s="23">
        <f>SUM(H4:H51,S4:S48)</f>
        <v>281500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46</v>
      </c>
      <c r="I53" s="23"/>
      <c r="J53" s="41">
        <v>46054</v>
      </c>
      <c r="L53" s="56" t="s">
        <v>30</v>
      </c>
      <c r="M53" s="57"/>
      <c r="N53" s="57"/>
      <c r="O53" s="57"/>
      <c r="P53" s="19"/>
      <c r="Q53" s="31">
        <v>15000</v>
      </c>
      <c r="R53" s="31"/>
      <c r="S53" s="23">
        <v>30000</v>
      </c>
      <c r="T53" s="23"/>
      <c r="U53" s="39">
        <f>SUM(X37:X42)</f>
        <v>525500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U50:U51"/>
    <mergeCell ref="H52:I52"/>
    <mergeCell ref="L52:O52"/>
    <mergeCell ref="Q52:R52"/>
    <mergeCell ref="S52:T52"/>
    <mergeCell ref="S49:T49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" xr:uid="{39280B0D-F2DD-4FCC-8EBE-BB45EFE4D421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F145-78F1-472F-838B-85C5ED89AF00}">
  <sheetPr>
    <pageSetUpPr fitToPage="1"/>
  </sheetPr>
  <dimension ref="A1:X56"/>
  <sheetViews>
    <sheetView topLeftCell="A36" workbookViewId="0">
      <selection activeCell="N25" sqref="N25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 t="s">
        <v>136</v>
      </c>
      <c r="D4" s="5" t="s">
        <v>51</v>
      </c>
      <c r="E4" s="6"/>
      <c r="F4" s="64">
        <v>14000</v>
      </c>
      <c r="G4" s="4" t="s">
        <v>3</v>
      </c>
      <c r="H4" s="2">
        <v>3000</v>
      </c>
      <c r="I4" s="23">
        <f t="shared" ref="I4" si="0">F4+H4+H5+H6</f>
        <v>26500</v>
      </c>
      <c r="J4" s="9"/>
      <c r="L4" s="29">
        <f>A49+1</f>
        <v>45825</v>
      </c>
      <c r="M4" s="4" t="s">
        <v>3</v>
      </c>
      <c r="N4" s="5" t="s">
        <v>293</v>
      </c>
      <c r="O4" s="5" t="s">
        <v>51</v>
      </c>
      <c r="P4" s="6"/>
      <c r="Q4" s="23">
        <v>9000</v>
      </c>
      <c r="R4" s="4" t="s">
        <v>3</v>
      </c>
      <c r="S4" s="2">
        <v>2500</v>
      </c>
      <c r="T4" s="23">
        <f t="shared" ref="T4" si="1">Q4+S4+S5+S6</f>
        <v>19000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137</v>
      </c>
      <c r="D5" s="5" t="s">
        <v>51</v>
      </c>
      <c r="E5" s="6"/>
      <c r="F5" s="64"/>
      <c r="G5" s="4" t="s">
        <v>4</v>
      </c>
      <c r="H5" s="2">
        <v>9500</v>
      </c>
      <c r="I5" s="23"/>
      <c r="J5" s="9"/>
      <c r="L5" s="29"/>
      <c r="M5" s="4" t="s">
        <v>4</v>
      </c>
      <c r="N5" s="5" t="s">
        <v>58</v>
      </c>
      <c r="O5" s="5" t="s">
        <v>51</v>
      </c>
      <c r="P5" s="6"/>
      <c r="Q5" s="23"/>
      <c r="R5" s="4" t="s">
        <v>4</v>
      </c>
      <c r="S5" s="2">
        <v>3000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64"/>
      <c r="G6" s="4" t="s">
        <v>5</v>
      </c>
      <c r="H6" s="2"/>
      <c r="I6" s="23"/>
      <c r="J6" s="9"/>
      <c r="L6" s="29"/>
      <c r="M6" s="4" t="s">
        <v>5</v>
      </c>
      <c r="N6" s="5" t="s">
        <v>79</v>
      </c>
      <c r="O6" s="5" t="s">
        <v>19</v>
      </c>
      <c r="P6" s="6"/>
      <c r="Q6" s="23"/>
      <c r="R6" s="4" t="s">
        <v>5</v>
      </c>
      <c r="S6" s="2">
        <v>4500</v>
      </c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136</v>
      </c>
      <c r="D7" s="5" t="s">
        <v>51</v>
      </c>
      <c r="E7" s="6"/>
      <c r="F7" s="23">
        <v>9000</v>
      </c>
      <c r="G7" s="4" t="s">
        <v>3</v>
      </c>
      <c r="H7" s="2">
        <v>3000</v>
      </c>
      <c r="I7" s="23">
        <f t="shared" ref="I7" si="2">F7+H7+H8+H9</f>
        <v>21500</v>
      </c>
      <c r="J7" s="9"/>
      <c r="L7" s="29">
        <f>L4+1</f>
        <v>45826</v>
      </c>
      <c r="M7" s="4" t="s">
        <v>3</v>
      </c>
      <c r="N7" s="5" t="s">
        <v>294</v>
      </c>
      <c r="O7" s="5" t="s">
        <v>51</v>
      </c>
      <c r="P7" s="6"/>
      <c r="Q7" s="23">
        <v>9000</v>
      </c>
      <c r="R7" s="4" t="s">
        <v>3</v>
      </c>
      <c r="S7" s="2">
        <v>3500</v>
      </c>
      <c r="T7" s="23">
        <f t="shared" ref="T7" si="3">Q7+S7+S8+S9</f>
        <v>21500</v>
      </c>
      <c r="U7" s="9"/>
      <c r="W7">
        <f>COUNT(F4:F51,Q4:Q48)</f>
        <v>25</v>
      </c>
    </row>
    <row r="8" spans="1:23" x14ac:dyDescent="0.4">
      <c r="A8" s="29"/>
      <c r="B8" s="4" t="s">
        <v>4</v>
      </c>
      <c r="C8" s="5" t="s">
        <v>137</v>
      </c>
      <c r="D8" s="5" t="s">
        <v>51</v>
      </c>
      <c r="E8" s="6"/>
      <c r="F8" s="23"/>
      <c r="G8" s="4" t="s">
        <v>4</v>
      </c>
      <c r="H8" s="2">
        <v>9500</v>
      </c>
      <c r="I8" s="23"/>
      <c r="J8" s="9"/>
      <c r="L8" s="29"/>
      <c r="M8" s="4" t="s">
        <v>4</v>
      </c>
      <c r="N8" s="5" t="s">
        <v>295</v>
      </c>
      <c r="O8" s="5" t="s">
        <v>51</v>
      </c>
      <c r="P8" s="6"/>
      <c r="Q8" s="23"/>
      <c r="R8" s="4" t="s">
        <v>4</v>
      </c>
      <c r="S8" s="2">
        <v>2500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 t="s">
        <v>59</v>
      </c>
      <c r="O9" s="5" t="s">
        <v>51</v>
      </c>
      <c r="P9" s="6"/>
      <c r="Q9" s="23"/>
      <c r="R9" s="4" t="s">
        <v>5</v>
      </c>
      <c r="S9" s="2">
        <v>6500</v>
      </c>
      <c r="T9" s="23"/>
      <c r="U9" s="9"/>
    </row>
    <row r="10" spans="1:23" x14ac:dyDescent="0.4">
      <c r="A10" s="29">
        <f t="shared" ref="A10" si="4">A7+1</f>
        <v>45811</v>
      </c>
      <c r="B10" s="4" t="s">
        <v>3</v>
      </c>
      <c r="C10" s="5" t="s">
        <v>136</v>
      </c>
      <c r="D10" s="5" t="s">
        <v>51</v>
      </c>
      <c r="E10" s="6"/>
      <c r="F10" s="23">
        <v>9000</v>
      </c>
      <c r="G10" s="4" t="s">
        <v>3</v>
      </c>
      <c r="H10" s="2">
        <v>3000</v>
      </c>
      <c r="I10" s="23">
        <f t="shared" ref="I10" si="5">F10+H10+H11+H12</f>
        <v>21500</v>
      </c>
      <c r="J10" s="9"/>
      <c r="L10" s="29">
        <f t="shared" ref="L10" si="6">L7+1</f>
        <v>45827</v>
      </c>
      <c r="M10" s="4" t="s">
        <v>3</v>
      </c>
      <c r="N10" s="5" t="s">
        <v>296</v>
      </c>
      <c r="O10" s="5" t="s">
        <v>51</v>
      </c>
      <c r="P10" s="6"/>
      <c r="Q10" s="23">
        <v>9000</v>
      </c>
      <c r="R10" s="4" t="s">
        <v>3</v>
      </c>
      <c r="S10" s="2">
        <v>6500</v>
      </c>
      <c r="T10" s="23">
        <f t="shared" ref="T10" si="7">Q10+S10+S11+S12</f>
        <v>20000</v>
      </c>
      <c r="U10" s="9"/>
    </row>
    <row r="11" spans="1:23" x14ac:dyDescent="0.4">
      <c r="A11" s="29"/>
      <c r="B11" s="4" t="s">
        <v>4</v>
      </c>
      <c r="C11" s="5" t="s">
        <v>137</v>
      </c>
      <c r="D11" s="5" t="s">
        <v>51</v>
      </c>
      <c r="E11" s="6"/>
      <c r="F11" s="23"/>
      <c r="G11" s="4" t="s">
        <v>4</v>
      </c>
      <c r="H11" s="2">
        <v>9500</v>
      </c>
      <c r="I11" s="23"/>
      <c r="J11" s="9"/>
      <c r="L11" s="29"/>
      <c r="M11" s="4" t="s">
        <v>4</v>
      </c>
      <c r="N11" s="5" t="s">
        <v>54</v>
      </c>
      <c r="O11" s="5" t="s">
        <v>51</v>
      </c>
      <c r="P11" s="6"/>
      <c r="Q11" s="23"/>
      <c r="R11" s="4" t="s">
        <v>4</v>
      </c>
      <c r="S11" s="2">
        <v>4500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8">A10+1</f>
        <v>45812</v>
      </c>
      <c r="B13" s="4" t="s">
        <v>3</v>
      </c>
      <c r="C13" s="5" t="s">
        <v>136</v>
      </c>
      <c r="D13" s="5" t="s">
        <v>51</v>
      </c>
      <c r="E13" s="6"/>
      <c r="F13" s="23">
        <v>9000</v>
      </c>
      <c r="G13" s="4" t="s">
        <v>3</v>
      </c>
      <c r="H13" s="2">
        <v>3000</v>
      </c>
      <c r="I13" s="23">
        <f t="shared" ref="I13" si="9">F13+H13+H14+H15</f>
        <v>21500</v>
      </c>
      <c r="J13" s="9"/>
      <c r="L13" s="29">
        <f t="shared" ref="L13" si="10">L10+1</f>
        <v>45828</v>
      </c>
      <c r="M13" s="4" t="s">
        <v>3</v>
      </c>
      <c r="N13" s="5" t="s">
        <v>297</v>
      </c>
      <c r="O13" s="5" t="s">
        <v>51</v>
      </c>
      <c r="P13" s="6"/>
      <c r="Q13" s="23">
        <v>9000</v>
      </c>
      <c r="R13" s="4" t="s">
        <v>3</v>
      </c>
      <c r="S13" s="2">
        <v>3500</v>
      </c>
      <c r="T13" s="23">
        <f t="shared" ref="T13" si="11">Q13+S13+S14+S15</f>
        <v>20500</v>
      </c>
      <c r="U13" s="9" t="s">
        <v>103</v>
      </c>
    </row>
    <row r="14" spans="1:23" x14ac:dyDescent="0.4">
      <c r="A14" s="29"/>
      <c r="B14" s="4" t="s">
        <v>4</v>
      </c>
      <c r="C14" s="5" t="s">
        <v>137</v>
      </c>
      <c r="D14" s="5" t="s">
        <v>51</v>
      </c>
      <c r="E14" s="6"/>
      <c r="F14" s="23"/>
      <c r="G14" s="4" t="s">
        <v>4</v>
      </c>
      <c r="H14" s="2">
        <v>9500</v>
      </c>
      <c r="I14" s="23"/>
      <c r="J14" s="9"/>
      <c r="L14" s="29"/>
      <c r="M14" s="4" t="s">
        <v>4</v>
      </c>
      <c r="N14" s="5" t="s">
        <v>298</v>
      </c>
      <c r="O14" s="5" t="s">
        <v>51</v>
      </c>
      <c r="P14" s="6"/>
      <c r="Q14" s="23"/>
      <c r="R14" s="4" t="s">
        <v>4</v>
      </c>
      <c r="S14" s="2">
        <v>3500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 t="s">
        <v>107</v>
      </c>
      <c r="O15" s="5" t="s">
        <v>51</v>
      </c>
      <c r="P15" s="6"/>
      <c r="Q15" s="23"/>
      <c r="R15" s="4" t="s">
        <v>5</v>
      </c>
      <c r="S15" s="2">
        <v>4500</v>
      </c>
      <c r="T15" s="23"/>
      <c r="U15" s="9"/>
    </row>
    <row r="16" spans="1:23" x14ac:dyDescent="0.4">
      <c r="A16" s="29">
        <f t="shared" ref="A16" si="12">A13+1</f>
        <v>45813</v>
      </c>
      <c r="B16" s="4" t="s">
        <v>3</v>
      </c>
      <c r="C16" s="5" t="s">
        <v>136</v>
      </c>
      <c r="D16" s="5" t="s">
        <v>51</v>
      </c>
      <c r="E16" s="6"/>
      <c r="F16" s="23">
        <v>9000</v>
      </c>
      <c r="G16" s="4" t="s">
        <v>3</v>
      </c>
      <c r="H16" s="2">
        <v>3000</v>
      </c>
      <c r="I16" s="23">
        <f t="shared" ref="I16" si="13">F16+H16+H17+H18</f>
        <v>21500</v>
      </c>
      <c r="J16" s="9"/>
      <c r="L16" s="29">
        <f t="shared" ref="L16" si="14">L13+1</f>
        <v>45829</v>
      </c>
      <c r="M16" s="4" t="s">
        <v>3</v>
      </c>
      <c r="N16" s="5" t="s">
        <v>299</v>
      </c>
      <c r="O16" s="5" t="s">
        <v>51</v>
      </c>
      <c r="P16" s="6"/>
      <c r="Q16" s="23">
        <v>9000</v>
      </c>
      <c r="R16" s="4" t="s">
        <v>3</v>
      </c>
      <c r="S16" s="2">
        <v>4000</v>
      </c>
      <c r="T16" s="23">
        <f t="shared" ref="T16" si="15">Q16+S16+S17+S18</f>
        <v>20500</v>
      </c>
      <c r="U16" s="9" t="s">
        <v>103</v>
      </c>
    </row>
    <row r="17" spans="1:21" x14ac:dyDescent="0.4">
      <c r="A17" s="29"/>
      <c r="B17" s="4" t="s">
        <v>4</v>
      </c>
      <c r="C17" s="5" t="s">
        <v>137</v>
      </c>
      <c r="D17" s="5" t="s">
        <v>51</v>
      </c>
      <c r="E17" s="6"/>
      <c r="F17" s="23"/>
      <c r="G17" s="4" t="s">
        <v>4</v>
      </c>
      <c r="H17" s="2">
        <v>9500</v>
      </c>
      <c r="I17" s="23"/>
      <c r="J17" s="9"/>
      <c r="L17" s="29"/>
      <c r="M17" s="4" t="s">
        <v>4</v>
      </c>
      <c r="N17" s="5" t="s">
        <v>300</v>
      </c>
      <c r="O17" s="5" t="s">
        <v>51</v>
      </c>
      <c r="P17" s="6"/>
      <c r="Q17" s="23"/>
      <c r="R17" s="4" t="s">
        <v>4</v>
      </c>
      <c r="S17" s="2">
        <v>3000</v>
      </c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 t="s">
        <v>301</v>
      </c>
      <c r="O18" s="5" t="s">
        <v>51</v>
      </c>
      <c r="P18" s="6"/>
      <c r="Q18" s="23"/>
      <c r="R18" s="4" t="s">
        <v>5</v>
      </c>
      <c r="S18" s="2">
        <v>4500</v>
      </c>
      <c r="T18" s="23"/>
      <c r="U18" s="9"/>
    </row>
    <row r="19" spans="1:21" x14ac:dyDescent="0.4">
      <c r="A19" s="29">
        <f t="shared" ref="A19" si="16">A16+1</f>
        <v>45814</v>
      </c>
      <c r="B19" s="4" t="s">
        <v>3</v>
      </c>
      <c r="C19" s="5" t="s">
        <v>136</v>
      </c>
      <c r="D19" s="5" t="s">
        <v>51</v>
      </c>
      <c r="E19" s="6"/>
      <c r="F19" s="23">
        <v>9000</v>
      </c>
      <c r="G19" s="4" t="s">
        <v>3</v>
      </c>
      <c r="H19" s="2">
        <v>3000</v>
      </c>
      <c r="I19" s="23">
        <f t="shared" ref="I19" si="17">F19+H19+H20+H21</f>
        <v>21500</v>
      </c>
      <c r="J19" s="9"/>
      <c r="L19" s="29">
        <f t="shared" ref="L19" si="18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9">Q19+S19+S20+S21</f>
        <v>0</v>
      </c>
      <c r="U19" s="9"/>
    </row>
    <row r="20" spans="1:21" x14ac:dyDescent="0.4">
      <c r="A20" s="29"/>
      <c r="B20" s="4" t="s">
        <v>4</v>
      </c>
      <c r="C20" s="5" t="s">
        <v>137</v>
      </c>
      <c r="D20" s="5" t="s">
        <v>51</v>
      </c>
      <c r="E20" s="6"/>
      <c r="F20" s="23"/>
      <c r="G20" s="4" t="s">
        <v>4</v>
      </c>
      <c r="H20" s="2">
        <v>9500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20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21">F22+H22+H23+H24</f>
        <v>0</v>
      </c>
      <c r="J22" s="9"/>
      <c r="L22" s="29">
        <f t="shared" ref="L22" si="22">L19+1</f>
        <v>45831</v>
      </c>
      <c r="M22" s="4" t="s">
        <v>3</v>
      </c>
      <c r="N22" s="5" t="s">
        <v>302</v>
      </c>
      <c r="O22" s="5" t="s">
        <v>51</v>
      </c>
      <c r="P22" s="6"/>
      <c r="Q22" s="23">
        <v>9000</v>
      </c>
      <c r="R22" s="4" t="s">
        <v>3</v>
      </c>
      <c r="S22" s="2">
        <v>3500</v>
      </c>
      <c r="T22" s="23">
        <f t="shared" ref="T22" si="23">Q22+S22+S23+S24</f>
        <v>15500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223</v>
      </c>
      <c r="O23" s="5" t="s">
        <v>51</v>
      </c>
      <c r="P23" s="6"/>
      <c r="Q23" s="23"/>
      <c r="R23" s="4" t="s">
        <v>4</v>
      </c>
      <c r="S23" s="2">
        <v>3000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4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5">F25+H25+H26+H27</f>
        <v>0</v>
      </c>
      <c r="J25" s="9"/>
      <c r="L25" s="29">
        <f t="shared" ref="L25" si="26">L22+1</f>
        <v>45832</v>
      </c>
      <c r="M25" s="4" t="s">
        <v>3</v>
      </c>
      <c r="N25" s="5" t="s">
        <v>214</v>
      </c>
      <c r="O25" s="5" t="s">
        <v>51</v>
      </c>
      <c r="P25" s="6"/>
      <c r="Q25" s="23">
        <v>9000</v>
      </c>
      <c r="R25" s="4" t="s">
        <v>3</v>
      </c>
      <c r="S25" s="2">
        <v>2500</v>
      </c>
      <c r="T25" s="23">
        <f t="shared" ref="T25" si="27">Q25+S25+S26+S27</f>
        <v>21000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131</v>
      </c>
      <c r="O26" s="5" t="s">
        <v>51</v>
      </c>
      <c r="P26" s="6"/>
      <c r="Q26" s="23"/>
      <c r="R26" s="4" t="s">
        <v>4</v>
      </c>
      <c r="S26" s="2">
        <v>3000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 t="s">
        <v>59</v>
      </c>
      <c r="O27" s="5" t="s">
        <v>51</v>
      </c>
      <c r="P27" s="6"/>
      <c r="Q27" s="23"/>
      <c r="R27" s="4" t="s">
        <v>5</v>
      </c>
      <c r="S27" s="2">
        <v>6500</v>
      </c>
      <c r="T27" s="23"/>
      <c r="U27" s="9"/>
    </row>
    <row r="28" spans="1:21" x14ac:dyDescent="0.4">
      <c r="A28" s="29">
        <f t="shared" ref="A28" si="28">A25+1</f>
        <v>45817</v>
      </c>
      <c r="B28" s="4" t="s">
        <v>3</v>
      </c>
      <c r="C28" s="5" t="s">
        <v>204</v>
      </c>
      <c r="D28" s="5" t="s">
        <v>51</v>
      </c>
      <c r="E28" s="6"/>
      <c r="F28" s="23">
        <v>9000</v>
      </c>
      <c r="G28" s="4" t="s">
        <v>3</v>
      </c>
      <c r="H28" s="2">
        <v>6500</v>
      </c>
      <c r="I28" s="23">
        <f t="shared" ref="I28" si="29">F28+H28+H29+H30</f>
        <v>22000</v>
      </c>
      <c r="J28" s="9"/>
      <c r="L28" s="29">
        <f t="shared" ref="L28" si="30">L25+1</f>
        <v>45833</v>
      </c>
      <c r="M28" s="4" t="s">
        <v>3</v>
      </c>
      <c r="N28" s="5" t="s">
        <v>303</v>
      </c>
      <c r="O28" s="5" t="s">
        <v>51</v>
      </c>
      <c r="P28" s="6"/>
      <c r="Q28" s="23">
        <v>9000</v>
      </c>
      <c r="R28" s="4" t="s">
        <v>3</v>
      </c>
      <c r="S28" s="2">
        <v>3000</v>
      </c>
      <c r="T28" s="23">
        <f t="shared" ref="T28" si="31">Q28+S28+S29+S30</f>
        <v>18500</v>
      </c>
      <c r="U28" s="9"/>
    </row>
    <row r="29" spans="1:21" x14ac:dyDescent="0.4">
      <c r="A29" s="29"/>
      <c r="B29" s="4" t="s">
        <v>4</v>
      </c>
      <c r="C29" s="5" t="s">
        <v>139</v>
      </c>
      <c r="D29" s="5" t="s">
        <v>51</v>
      </c>
      <c r="E29" s="6"/>
      <c r="F29" s="23"/>
      <c r="G29" s="4" t="s">
        <v>4</v>
      </c>
      <c r="H29" s="2">
        <v>6500</v>
      </c>
      <c r="I29" s="23"/>
      <c r="J29" s="9"/>
      <c r="L29" s="29"/>
      <c r="M29" s="4" t="s">
        <v>4</v>
      </c>
      <c r="N29" s="5" t="s">
        <v>117</v>
      </c>
      <c r="O29" s="5" t="s">
        <v>51</v>
      </c>
      <c r="P29" s="6"/>
      <c r="Q29" s="23"/>
      <c r="R29" s="4" t="s">
        <v>4</v>
      </c>
      <c r="S29" s="2">
        <v>6500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2">A28+1</f>
        <v>45818</v>
      </c>
      <c r="B31" s="4" t="s">
        <v>3</v>
      </c>
      <c r="C31" s="5" t="s">
        <v>204</v>
      </c>
      <c r="D31" s="5" t="s">
        <v>51</v>
      </c>
      <c r="E31" s="6"/>
      <c r="F31" s="23">
        <v>9000</v>
      </c>
      <c r="G31" s="4" t="s">
        <v>3</v>
      </c>
      <c r="H31" s="2">
        <v>6500</v>
      </c>
      <c r="I31" s="23">
        <f t="shared" ref="I31" si="33">F31+H31+H32+H33</f>
        <v>22000</v>
      </c>
      <c r="J31" s="9"/>
      <c r="L31" s="29">
        <f t="shared" ref="L31" si="34">L28+1</f>
        <v>45834</v>
      </c>
      <c r="M31" s="4" t="s">
        <v>3</v>
      </c>
      <c r="N31" s="5" t="s">
        <v>304</v>
      </c>
      <c r="O31" s="5" t="s">
        <v>51</v>
      </c>
      <c r="P31" s="6"/>
      <c r="Q31" s="23">
        <v>9000</v>
      </c>
      <c r="R31" s="4" t="s">
        <v>3</v>
      </c>
      <c r="S31" s="2">
        <v>6500</v>
      </c>
      <c r="T31" s="23">
        <f t="shared" ref="T31" si="35">Q31+S31+S32+S33</f>
        <v>22000</v>
      </c>
      <c r="U31" s="9"/>
    </row>
    <row r="32" spans="1:21" x14ac:dyDescent="0.4">
      <c r="A32" s="29"/>
      <c r="B32" s="4" t="s">
        <v>4</v>
      </c>
      <c r="C32" s="5" t="s">
        <v>139</v>
      </c>
      <c r="D32" s="5" t="s">
        <v>51</v>
      </c>
      <c r="E32" s="6"/>
      <c r="F32" s="23"/>
      <c r="G32" s="4" t="s">
        <v>4</v>
      </c>
      <c r="H32" s="2">
        <v>6500</v>
      </c>
      <c r="I32" s="23"/>
      <c r="J32" s="9"/>
      <c r="L32" s="29"/>
      <c r="M32" s="4" t="s">
        <v>4</v>
      </c>
      <c r="N32" s="5" t="s">
        <v>117</v>
      </c>
      <c r="O32" s="5" t="s">
        <v>51</v>
      </c>
      <c r="P32" s="6"/>
      <c r="Q32" s="23"/>
      <c r="R32" s="4" t="s">
        <v>4</v>
      </c>
      <c r="S32" s="2">
        <v>6500</v>
      </c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6">A31+1</f>
        <v>45819</v>
      </c>
      <c r="B34" s="4" t="s">
        <v>3</v>
      </c>
      <c r="C34" s="5" t="s">
        <v>204</v>
      </c>
      <c r="D34" s="5" t="s">
        <v>51</v>
      </c>
      <c r="E34" s="6"/>
      <c r="F34" s="23">
        <v>9000</v>
      </c>
      <c r="G34" s="4" t="s">
        <v>3</v>
      </c>
      <c r="H34" s="2">
        <v>6500</v>
      </c>
      <c r="I34" s="23">
        <f t="shared" ref="I34" si="37">F34+H34+H35+H36</f>
        <v>23500</v>
      </c>
      <c r="J34" s="9"/>
      <c r="L34" s="29">
        <f t="shared" ref="L34" si="38">L31+1</f>
        <v>45835</v>
      </c>
      <c r="M34" s="4" t="s">
        <v>3</v>
      </c>
      <c r="N34" s="5" t="s">
        <v>302</v>
      </c>
      <c r="O34" s="5" t="s">
        <v>19</v>
      </c>
      <c r="P34" s="6"/>
      <c r="Q34" s="23">
        <v>9000</v>
      </c>
      <c r="R34" s="4" t="s">
        <v>3</v>
      </c>
      <c r="S34" s="2">
        <v>3500</v>
      </c>
      <c r="T34" s="23">
        <f t="shared" ref="T34" si="39">Q34+S34+S35+S36</f>
        <v>21500</v>
      </c>
      <c r="U34" s="9"/>
    </row>
    <row r="35" spans="1:24" x14ac:dyDescent="0.4">
      <c r="A35" s="29"/>
      <c r="B35" s="4" t="s">
        <v>4</v>
      </c>
      <c r="C35" s="5" t="s">
        <v>205</v>
      </c>
      <c r="D35" s="5" t="s">
        <v>51</v>
      </c>
      <c r="E35" s="6"/>
      <c r="F35" s="23"/>
      <c r="G35" s="4" t="s">
        <v>4</v>
      </c>
      <c r="H35" s="2">
        <v>1500</v>
      </c>
      <c r="I35" s="23"/>
      <c r="J35" s="9"/>
      <c r="L35" s="29"/>
      <c r="M35" s="4" t="s">
        <v>4</v>
      </c>
      <c r="N35" s="5" t="s">
        <v>89</v>
      </c>
      <c r="O35" s="5" t="s">
        <v>19</v>
      </c>
      <c r="P35" s="6"/>
      <c r="Q35" s="23"/>
      <c r="R35" s="4" t="s">
        <v>4</v>
      </c>
      <c r="S35" s="2">
        <v>4500</v>
      </c>
      <c r="T35" s="23"/>
      <c r="U35" s="9" t="s">
        <v>103</v>
      </c>
    </row>
    <row r="36" spans="1:24" x14ac:dyDescent="0.4">
      <c r="A36" s="29"/>
      <c r="B36" s="4" t="s">
        <v>5</v>
      </c>
      <c r="C36" s="5" t="s">
        <v>139</v>
      </c>
      <c r="D36" s="5" t="s">
        <v>51</v>
      </c>
      <c r="E36" s="6"/>
      <c r="F36" s="23"/>
      <c r="G36" s="4" t="s">
        <v>5</v>
      </c>
      <c r="H36" s="2">
        <v>6500</v>
      </c>
      <c r="I36" s="23"/>
      <c r="J36" s="9"/>
      <c r="L36" s="29"/>
      <c r="M36" s="4" t="s">
        <v>5</v>
      </c>
      <c r="N36" s="5" t="s">
        <v>305</v>
      </c>
      <c r="O36" s="5" t="s">
        <v>19</v>
      </c>
      <c r="P36" s="6"/>
      <c r="Q36" s="23"/>
      <c r="R36" s="4" t="s">
        <v>5</v>
      </c>
      <c r="S36" s="2">
        <v>4500</v>
      </c>
      <c r="T36" s="23"/>
      <c r="U36" s="9"/>
    </row>
    <row r="37" spans="1:24" x14ac:dyDescent="0.4">
      <c r="A37" s="29">
        <f t="shared" ref="A37" si="40">A34+1</f>
        <v>45820</v>
      </c>
      <c r="B37" s="4" t="s">
        <v>3</v>
      </c>
      <c r="C37" s="5" t="s">
        <v>204</v>
      </c>
      <c r="D37" s="5" t="s">
        <v>51</v>
      </c>
      <c r="E37" s="6"/>
      <c r="F37" s="23">
        <v>9000</v>
      </c>
      <c r="G37" s="4" t="s">
        <v>3</v>
      </c>
      <c r="H37" s="2">
        <v>6500</v>
      </c>
      <c r="I37" s="23">
        <f t="shared" ref="I37" si="41">F37+H37+H38+H39</f>
        <v>22000</v>
      </c>
      <c r="J37" s="9"/>
      <c r="L37" s="29">
        <f t="shared" ref="L37" si="42">L34+1</f>
        <v>45836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43">Q37+S37+S38+S39</f>
        <v>0</v>
      </c>
      <c r="U37" s="9"/>
      <c r="X37">
        <f>N50</f>
        <v>20000</v>
      </c>
    </row>
    <row r="38" spans="1:24" x14ac:dyDescent="0.4">
      <c r="A38" s="29"/>
      <c r="B38" s="4" t="s">
        <v>4</v>
      </c>
      <c r="C38" s="5" t="s">
        <v>139</v>
      </c>
      <c r="D38" s="5" t="s">
        <v>51</v>
      </c>
      <c r="E38" s="6"/>
      <c r="F38" s="23"/>
      <c r="G38" s="4" t="s">
        <v>4</v>
      </c>
      <c r="H38" s="2">
        <v>6500</v>
      </c>
      <c r="I38" s="23"/>
      <c r="J38" s="9"/>
      <c r="L38" s="29"/>
      <c r="M38" s="4" t="s">
        <v>4</v>
      </c>
      <c r="N38" s="5" t="s">
        <v>48</v>
      </c>
      <c r="O38" s="5"/>
      <c r="P38" s="6"/>
      <c r="Q38" s="23"/>
      <c r="R38" s="4" t="s">
        <v>4</v>
      </c>
      <c r="S38" s="2"/>
      <c r="T38" s="23"/>
      <c r="U38" s="9"/>
      <c r="X38">
        <f>O50</f>
        <v>235000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304000</v>
      </c>
    </row>
    <row r="40" spans="1:24" x14ac:dyDescent="0.4">
      <c r="A40" s="29">
        <f t="shared" ref="A40" si="44">A37+1</f>
        <v>45821</v>
      </c>
      <c r="B40" s="4" t="s">
        <v>3</v>
      </c>
      <c r="C40" s="5" t="s">
        <v>204</v>
      </c>
      <c r="D40" s="5" t="s">
        <v>51</v>
      </c>
      <c r="E40" s="6"/>
      <c r="F40" s="23">
        <v>9000</v>
      </c>
      <c r="G40" s="4" t="s">
        <v>3</v>
      </c>
      <c r="H40" s="2">
        <v>6500</v>
      </c>
      <c r="I40" s="23">
        <f t="shared" ref="I40" si="45">F40+H40+H41+H42</f>
        <v>23500</v>
      </c>
      <c r="J40" s="9"/>
      <c r="L40" s="29">
        <f t="shared" ref="L40" si="46">L37+1</f>
        <v>45837</v>
      </c>
      <c r="M40" s="4" t="s">
        <v>3</v>
      </c>
      <c r="N40" s="5" t="s">
        <v>136</v>
      </c>
      <c r="O40" s="5" t="s">
        <v>51</v>
      </c>
      <c r="P40" s="6"/>
      <c r="Q40" s="64">
        <v>14000</v>
      </c>
      <c r="R40" s="4" t="s">
        <v>3</v>
      </c>
      <c r="S40" s="2">
        <v>3000</v>
      </c>
      <c r="T40" s="23">
        <f t="shared" ref="T40" si="47">Q40+S40+S41+S42</f>
        <v>26500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205</v>
      </c>
      <c r="D41" s="5" t="s">
        <v>51</v>
      </c>
      <c r="E41" s="6"/>
      <c r="F41" s="23"/>
      <c r="G41" s="4" t="s">
        <v>4</v>
      </c>
      <c r="H41" s="2">
        <v>1500</v>
      </c>
      <c r="I41" s="23"/>
      <c r="J41" s="9"/>
      <c r="L41" s="29"/>
      <c r="M41" s="4" t="s">
        <v>4</v>
      </c>
      <c r="N41" s="5" t="s">
        <v>137</v>
      </c>
      <c r="O41" s="5" t="s">
        <v>51</v>
      </c>
      <c r="P41" s="6"/>
      <c r="Q41" s="64"/>
      <c r="R41" s="4" t="s">
        <v>4</v>
      </c>
      <c r="S41" s="2">
        <v>9500</v>
      </c>
      <c r="T41" s="23"/>
      <c r="U41" s="9"/>
      <c r="X41">
        <f>Q53</f>
        <v>5000</v>
      </c>
    </row>
    <row r="42" spans="1:24" x14ac:dyDescent="0.4">
      <c r="A42" s="29"/>
      <c r="B42" s="4" t="s">
        <v>5</v>
      </c>
      <c r="C42" s="5" t="s">
        <v>139</v>
      </c>
      <c r="D42" s="5" t="s">
        <v>51</v>
      </c>
      <c r="E42" s="6"/>
      <c r="F42" s="23"/>
      <c r="G42" s="4" t="s">
        <v>5</v>
      </c>
      <c r="H42" s="2">
        <v>6500</v>
      </c>
      <c r="I42" s="23"/>
      <c r="J42" s="9"/>
      <c r="L42" s="29"/>
      <c r="M42" s="4" t="s">
        <v>5</v>
      </c>
      <c r="N42" s="5"/>
      <c r="O42" s="5"/>
      <c r="P42" s="6"/>
      <c r="Q42" s="64"/>
      <c r="R42" s="4" t="s">
        <v>5</v>
      </c>
      <c r="S42" s="2"/>
      <c r="T42" s="23"/>
      <c r="U42" s="9"/>
      <c r="X42">
        <f>S53</f>
        <v>0</v>
      </c>
    </row>
    <row r="43" spans="1:24" x14ac:dyDescent="0.4">
      <c r="A43" s="29">
        <f t="shared" ref="A43" si="48">A40+1</f>
        <v>45822</v>
      </c>
      <c r="B43" s="4" t="s">
        <v>3</v>
      </c>
      <c r="C43" s="5" t="s">
        <v>204</v>
      </c>
      <c r="D43" s="5" t="s">
        <v>51</v>
      </c>
      <c r="E43" s="6"/>
      <c r="F43" s="23">
        <v>9000</v>
      </c>
      <c r="G43" s="4" t="s">
        <v>3</v>
      </c>
      <c r="H43" s="2">
        <v>6500</v>
      </c>
      <c r="I43" s="23">
        <f t="shared" ref="I43" si="49">F43+H43+H44+H45</f>
        <v>22000</v>
      </c>
      <c r="J43" s="9"/>
      <c r="L43" s="29">
        <f t="shared" ref="L43" si="50">L40+1</f>
        <v>45838</v>
      </c>
      <c r="M43" s="4" t="s">
        <v>3</v>
      </c>
      <c r="N43" s="5" t="s">
        <v>136</v>
      </c>
      <c r="O43" s="5" t="s">
        <v>51</v>
      </c>
      <c r="P43" s="6"/>
      <c r="Q43" s="23">
        <v>9000</v>
      </c>
      <c r="R43" s="4" t="s">
        <v>3</v>
      </c>
      <c r="S43" s="2">
        <v>3000</v>
      </c>
      <c r="T43" s="23">
        <f t="shared" ref="T43" si="51">Q43+S43+S44+S45</f>
        <v>21500</v>
      </c>
      <c r="U43" s="9"/>
    </row>
    <row r="44" spans="1:24" x14ac:dyDescent="0.4">
      <c r="A44" s="29"/>
      <c r="B44" s="4" t="s">
        <v>4</v>
      </c>
      <c r="C44" s="5" t="s">
        <v>139</v>
      </c>
      <c r="D44" s="5" t="s">
        <v>51</v>
      </c>
      <c r="E44" s="6"/>
      <c r="F44" s="23"/>
      <c r="G44" s="4" t="s">
        <v>4</v>
      </c>
      <c r="H44" s="2">
        <v>6500</v>
      </c>
      <c r="I44" s="23"/>
      <c r="J44" s="9"/>
      <c r="L44" s="29"/>
      <c r="M44" s="4" t="s">
        <v>4</v>
      </c>
      <c r="N44" s="5" t="s">
        <v>137</v>
      </c>
      <c r="O44" s="5" t="s">
        <v>51</v>
      </c>
      <c r="P44" s="6"/>
      <c r="Q44" s="23"/>
      <c r="R44" s="4" t="s">
        <v>4</v>
      </c>
      <c r="S44" s="2">
        <v>9500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52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3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4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5">A46+1</f>
        <v>45824</v>
      </c>
      <c r="B49" s="4" t="s">
        <v>3</v>
      </c>
      <c r="C49" s="5" t="s">
        <v>146</v>
      </c>
      <c r="D49" s="5" t="s">
        <v>51</v>
      </c>
      <c r="E49" s="6"/>
      <c r="F49" s="23">
        <v>9000</v>
      </c>
      <c r="G49" s="4" t="s">
        <v>3</v>
      </c>
      <c r="H49" s="2">
        <v>6500</v>
      </c>
      <c r="I49" s="23">
        <f t="shared" ref="I49" si="56">F49+H49+H50+H51</f>
        <v>22000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292</v>
      </c>
      <c r="D50" s="5" t="s">
        <v>51</v>
      </c>
      <c r="E50" s="6"/>
      <c r="F50" s="23"/>
      <c r="G50" s="4" t="s">
        <v>4</v>
      </c>
      <c r="H50" s="2">
        <v>6500</v>
      </c>
      <c r="I50" s="23"/>
      <c r="J50" s="9"/>
      <c r="L50" s="27">
        <f>W7</f>
        <v>25</v>
      </c>
      <c r="M50" s="28" t="s">
        <v>12</v>
      </c>
      <c r="N50" s="23">
        <f>MAX((L50-21)*5000,0)</f>
        <v>20000</v>
      </c>
      <c r="O50" s="31">
        <f>SUM(F4:F51,Q4:Q48)</f>
        <v>235000</v>
      </c>
      <c r="P50" s="31"/>
      <c r="Q50" s="31"/>
      <c r="R50" s="31"/>
      <c r="S50" s="23">
        <f>SUM(H4:H51,S4:S48)</f>
        <v>304000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46</v>
      </c>
      <c r="I53" s="23"/>
      <c r="J53" s="41">
        <v>46054</v>
      </c>
      <c r="L53" s="56" t="s">
        <v>32</v>
      </c>
      <c r="M53" s="57"/>
      <c r="N53" s="57"/>
      <c r="O53" s="57"/>
      <c r="P53" s="19"/>
      <c r="Q53" s="31">
        <v>5000</v>
      </c>
      <c r="R53" s="31"/>
      <c r="S53" s="23">
        <v>0</v>
      </c>
      <c r="T53" s="23"/>
      <c r="U53" s="39">
        <f>SUM(X37:X42)</f>
        <v>574000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S49:T49"/>
    <mergeCell ref="U53:U55"/>
    <mergeCell ref="Q55:R55"/>
    <mergeCell ref="S55:T55"/>
    <mergeCell ref="U50:U51"/>
    <mergeCell ref="H52:I52"/>
    <mergeCell ref="L52:O52"/>
    <mergeCell ref="Q52:R52"/>
    <mergeCell ref="S52:T52"/>
    <mergeCell ref="L50:L51"/>
    <mergeCell ref="M50:M51"/>
    <mergeCell ref="S50:T51"/>
    <mergeCell ref="H53:I55"/>
    <mergeCell ref="J53:J55"/>
    <mergeCell ref="L53:O55"/>
    <mergeCell ref="Q53:R54"/>
    <mergeCell ref="S53:T54"/>
    <mergeCell ref="A49:A51"/>
    <mergeCell ref="F49:F51"/>
    <mergeCell ref="I49:I51"/>
    <mergeCell ref="L49:M49"/>
    <mergeCell ref="A46:A48"/>
    <mergeCell ref="F46:F48"/>
    <mergeCell ref="I46:I48"/>
    <mergeCell ref="L46:L48"/>
    <mergeCell ref="Q46:Q48"/>
    <mergeCell ref="O49:R49"/>
    <mergeCell ref="N50:N51"/>
    <mergeCell ref="O50:R51"/>
    <mergeCell ref="T46:T48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:J2"/>
    <mergeCell ref="L1:U2"/>
    <mergeCell ref="B3:C3"/>
    <mergeCell ref="G3:H3"/>
    <mergeCell ref="M3:N3"/>
    <mergeCell ref="R3:S3"/>
    <mergeCell ref="A7:A9"/>
    <mergeCell ref="F7:F9"/>
    <mergeCell ref="I7:I9"/>
    <mergeCell ref="L7:L9"/>
    <mergeCell ref="Q7:Q9"/>
    <mergeCell ref="T7:T9"/>
    <mergeCell ref="A4:A6"/>
    <mergeCell ref="F4:F6"/>
    <mergeCell ref="I4:I6"/>
    <mergeCell ref="L4:L6"/>
    <mergeCell ref="Q4:Q6"/>
    <mergeCell ref="T4:T6"/>
  </mergeCells>
  <phoneticPr fontId="1"/>
  <dataValidations count="1">
    <dataValidation type="list" allowBlank="1" showInputMessage="1" showErrorMessage="1" sqref="D4:D51 O4:O48" xr:uid="{A865E5C3-A7D5-4F6C-9EA7-25A0E5867B2A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12E-AB78-423A-928E-B1786070D841}">
  <sheetPr>
    <pageSetUpPr fitToPage="1"/>
  </sheetPr>
  <dimension ref="A1:X56"/>
  <sheetViews>
    <sheetView topLeftCell="A39" workbookViewId="0">
      <selection activeCell="X51" sqref="X51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 t="s">
        <v>246</v>
      </c>
      <c r="O4" s="5" t="s">
        <v>51</v>
      </c>
      <c r="P4" s="6"/>
      <c r="Q4" s="23">
        <v>9000</v>
      </c>
      <c r="R4" s="4" t="s">
        <v>3</v>
      </c>
      <c r="S4" s="2">
        <v>14000</v>
      </c>
      <c r="T4" s="23">
        <f t="shared" ref="T4" si="0">Q4+S4+S5+S6</f>
        <v>23000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/>
      <c r="O5" s="5"/>
      <c r="P5" s="6"/>
      <c r="Q5" s="23"/>
      <c r="R5" s="4" t="s">
        <v>4</v>
      </c>
      <c r="S5" s="2"/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244</v>
      </c>
      <c r="D7" s="5" t="s">
        <v>51</v>
      </c>
      <c r="E7" s="6"/>
      <c r="F7" s="23">
        <v>9000</v>
      </c>
      <c r="G7" s="4" t="s">
        <v>3</v>
      </c>
      <c r="H7" s="2">
        <v>15500</v>
      </c>
      <c r="I7" s="23">
        <f>F7+H7+H8+H9</f>
        <v>24500</v>
      </c>
      <c r="J7" s="9"/>
      <c r="L7" s="29">
        <f>L4+1</f>
        <v>45826</v>
      </c>
      <c r="M7" s="4" t="s">
        <v>3</v>
      </c>
      <c r="N7" s="5" t="s">
        <v>251</v>
      </c>
      <c r="O7" s="5" t="s">
        <v>51</v>
      </c>
      <c r="P7" s="6"/>
      <c r="Q7" s="23">
        <v>9000</v>
      </c>
      <c r="R7" s="4" t="s">
        <v>3</v>
      </c>
      <c r="S7" s="2">
        <v>14000</v>
      </c>
      <c r="T7" s="23">
        <f t="shared" ref="T7" si="1">Q7+S7+S8+S9</f>
        <v>23000</v>
      </c>
      <c r="U7" s="9"/>
      <c r="W7">
        <f>COUNT(F4:F51,Q4:Q48)</f>
        <v>22</v>
      </c>
    </row>
    <row r="8" spans="1:23" x14ac:dyDescent="0.4">
      <c r="A8" s="29"/>
      <c r="B8" s="4" t="s">
        <v>4</v>
      </c>
      <c r="C8" s="5"/>
      <c r="D8" s="5"/>
      <c r="E8" s="6"/>
      <c r="F8" s="23"/>
      <c r="G8" s="4" t="s">
        <v>4</v>
      </c>
      <c r="H8" s="2"/>
      <c r="I8" s="23"/>
      <c r="J8" s="9"/>
      <c r="L8" s="29"/>
      <c r="M8" s="4" t="s">
        <v>4</v>
      </c>
      <c r="N8" s="5"/>
      <c r="O8" s="5"/>
      <c r="P8" s="6"/>
      <c r="Q8" s="23"/>
      <c r="R8" s="4" t="s">
        <v>4</v>
      </c>
      <c r="S8" s="2"/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2">A7+1</f>
        <v>45811</v>
      </c>
      <c r="B10" s="4" t="s">
        <v>3</v>
      </c>
      <c r="C10" s="5" t="s">
        <v>245</v>
      </c>
      <c r="D10" s="5" t="s">
        <v>51</v>
      </c>
      <c r="E10" s="6"/>
      <c r="F10" s="23">
        <v>9000</v>
      </c>
      <c r="G10" s="4" t="s">
        <v>3</v>
      </c>
      <c r="H10" s="2">
        <v>14000</v>
      </c>
      <c r="I10" s="23">
        <f t="shared" ref="I10" si="3">F10+H10+H11+H12</f>
        <v>23000</v>
      </c>
      <c r="J10" s="9"/>
      <c r="L10" s="29">
        <f t="shared" ref="L10" si="4">L7+1</f>
        <v>45827</v>
      </c>
      <c r="M10" s="4" t="s">
        <v>3</v>
      </c>
      <c r="N10" s="5" t="s">
        <v>252</v>
      </c>
      <c r="O10" s="5" t="s">
        <v>51</v>
      </c>
      <c r="P10" s="6"/>
      <c r="Q10" s="23">
        <v>9000</v>
      </c>
      <c r="R10" s="4" t="s">
        <v>3</v>
      </c>
      <c r="S10" s="2">
        <v>14000</v>
      </c>
      <c r="T10" s="23">
        <f t="shared" ref="T10" si="5">Q10+S10+S11+S12</f>
        <v>23000</v>
      </c>
      <c r="U10" s="9"/>
    </row>
    <row r="11" spans="1:23" x14ac:dyDescent="0.4">
      <c r="A11" s="29"/>
      <c r="B11" s="4" t="s">
        <v>4</v>
      </c>
      <c r="C11" s="5"/>
      <c r="D11" s="5"/>
      <c r="E11" s="6"/>
      <c r="F11" s="23"/>
      <c r="G11" s="4" t="s">
        <v>4</v>
      </c>
      <c r="H11" s="2"/>
      <c r="I11" s="23"/>
      <c r="J11" s="9"/>
      <c r="L11" s="29"/>
      <c r="M11" s="4" t="s">
        <v>4</v>
      </c>
      <c r="N11" s="5"/>
      <c r="O11" s="5"/>
      <c r="P11" s="6"/>
      <c r="Q11" s="23"/>
      <c r="R11" s="4" t="s">
        <v>4</v>
      </c>
      <c r="S11" s="2"/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6">A10+1</f>
        <v>45812</v>
      </c>
      <c r="B13" s="4" t="s">
        <v>3</v>
      </c>
      <c r="C13" s="5" t="s">
        <v>246</v>
      </c>
      <c r="D13" s="5" t="s">
        <v>51</v>
      </c>
      <c r="E13" s="6"/>
      <c r="F13" s="23">
        <v>9000</v>
      </c>
      <c r="G13" s="4" t="s">
        <v>3</v>
      </c>
      <c r="H13" s="2">
        <v>14000</v>
      </c>
      <c r="I13" s="23">
        <f t="shared" ref="I13" si="7">F13+H13+H14+H15</f>
        <v>23000</v>
      </c>
      <c r="J13" s="9"/>
      <c r="L13" s="29">
        <f t="shared" ref="L13" si="8">L10+1</f>
        <v>45828</v>
      </c>
      <c r="M13" s="4" t="s">
        <v>3</v>
      </c>
      <c r="N13" s="5" t="s">
        <v>253</v>
      </c>
      <c r="O13" s="5" t="s">
        <v>51</v>
      </c>
      <c r="P13" s="6"/>
      <c r="Q13" s="23">
        <v>9000</v>
      </c>
      <c r="R13" s="4" t="s">
        <v>3</v>
      </c>
      <c r="S13" s="2">
        <v>4000</v>
      </c>
      <c r="T13" s="23">
        <f t="shared" ref="T13" si="9">Q13+S13+S14+S15</f>
        <v>20500</v>
      </c>
      <c r="U13" s="9"/>
    </row>
    <row r="14" spans="1:23" x14ac:dyDescent="0.4">
      <c r="A14" s="29"/>
      <c r="B14" s="4" t="s">
        <v>4</v>
      </c>
      <c r="C14" s="5"/>
      <c r="D14" s="5"/>
      <c r="E14" s="6"/>
      <c r="F14" s="23"/>
      <c r="G14" s="4" t="s">
        <v>4</v>
      </c>
      <c r="H14" s="2"/>
      <c r="I14" s="23"/>
      <c r="J14" s="9"/>
      <c r="L14" s="29"/>
      <c r="M14" s="4" t="s">
        <v>4</v>
      </c>
      <c r="N14" s="5" t="s">
        <v>254</v>
      </c>
      <c r="O14" s="5" t="s">
        <v>19</v>
      </c>
      <c r="P14" s="6"/>
      <c r="Q14" s="23"/>
      <c r="R14" s="4" t="s">
        <v>4</v>
      </c>
      <c r="S14" s="2">
        <v>3000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 t="s">
        <v>66</v>
      </c>
      <c r="O15" s="5" t="s">
        <v>19</v>
      </c>
      <c r="P15" s="6"/>
      <c r="Q15" s="23"/>
      <c r="R15" s="4" t="s">
        <v>5</v>
      </c>
      <c r="S15" s="2">
        <v>4500</v>
      </c>
      <c r="T15" s="23"/>
      <c r="U15" s="9"/>
    </row>
    <row r="16" spans="1:23" x14ac:dyDescent="0.4">
      <c r="A16" s="29">
        <f t="shared" ref="A16" si="10">A13+1</f>
        <v>45813</v>
      </c>
      <c r="B16" s="4" t="s">
        <v>3</v>
      </c>
      <c r="C16" s="5" t="s">
        <v>247</v>
      </c>
      <c r="D16" s="5" t="s">
        <v>51</v>
      </c>
      <c r="E16" s="6"/>
      <c r="F16" s="23">
        <v>9000</v>
      </c>
      <c r="G16" s="4" t="s">
        <v>3</v>
      </c>
      <c r="H16" s="2">
        <v>14000</v>
      </c>
      <c r="I16" s="23">
        <f t="shared" ref="I16" si="11">F16+H16+H17+H18</f>
        <v>23000</v>
      </c>
      <c r="J16" s="9"/>
      <c r="L16" s="29">
        <f t="shared" ref="L16" si="12">L13+1</f>
        <v>45829</v>
      </c>
      <c r="M16" s="4" t="s">
        <v>3</v>
      </c>
      <c r="N16" s="5" t="s">
        <v>255</v>
      </c>
      <c r="O16" s="5" t="s">
        <v>51</v>
      </c>
      <c r="P16" s="6"/>
      <c r="Q16" s="23">
        <v>9000</v>
      </c>
      <c r="R16" s="4" t="s">
        <v>3</v>
      </c>
      <c r="S16" s="2">
        <v>4500</v>
      </c>
      <c r="T16" s="23">
        <f t="shared" ref="T16" si="13">Q16+S16+S17+S18</f>
        <v>17000</v>
      </c>
      <c r="U16" s="9"/>
    </row>
    <row r="17" spans="1:21" x14ac:dyDescent="0.4">
      <c r="A17" s="29"/>
      <c r="B17" s="4" t="s">
        <v>4</v>
      </c>
      <c r="C17" s="5"/>
      <c r="D17" s="5"/>
      <c r="E17" s="6"/>
      <c r="F17" s="23"/>
      <c r="G17" s="4" t="s">
        <v>4</v>
      </c>
      <c r="H17" s="2"/>
      <c r="I17" s="23"/>
      <c r="J17" s="9"/>
      <c r="L17" s="29"/>
      <c r="M17" s="4" t="s">
        <v>4</v>
      </c>
      <c r="N17" s="5" t="s">
        <v>256</v>
      </c>
      <c r="O17" s="5" t="s">
        <v>51</v>
      </c>
      <c r="P17" s="6"/>
      <c r="Q17" s="23"/>
      <c r="R17" s="4" t="s">
        <v>4</v>
      </c>
      <c r="S17" s="2">
        <v>3500</v>
      </c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4">A16+1</f>
        <v>45814</v>
      </c>
      <c r="B19" s="4" t="s">
        <v>3</v>
      </c>
      <c r="C19" s="5" t="s">
        <v>235</v>
      </c>
      <c r="D19" s="5" t="s">
        <v>51</v>
      </c>
      <c r="E19" s="6"/>
      <c r="F19" s="23">
        <v>9000</v>
      </c>
      <c r="G19" s="4" t="s">
        <v>3</v>
      </c>
      <c r="H19" s="2">
        <v>14000</v>
      </c>
      <c r="I19" s="23">
        <f t="shared" ref="I19" si="15">F19+H19+H20+H21</f>
        <v>23000</v>
      </c>
      <c r="J19" s="9"/>
      <c r="L19" s="29">
        <f t="shared" ref="L19" si="16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7">Q19+S19+S20+S21</f>
        <v>0</v>
      </c>
      <c r="U19" s="9"/>
    </row>
    <row r="20" spans="1:21" x14ac:dyDescent="0.4">
      <c r="A20" s="29"/>
      <c r="B20" s="4" t="s">
        <v>4</v>
      </c>
      <c r="C20" s="5"/>
      <c r="D20" s="5"/>
      <c r="E20" s="6"/>
      <c r="F20" s="23"/>
      <c r="G20" s="4" t="s">
        <v>4</v>
      </c>
      <c r="H20" s="2"/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8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19">F22+H22+H23+H24</f>
        <v>0</v>
      </c>
      <c r="J22" s="9"/>
      <c r="L22" s="29">
        <f t="shared" ref="L22" si="20">L19+1</f>
        <v>45831</v>
      </c>
      <c r="M22" s="4" t="s">
        <v>3</v>
      </c>
      <c r="N22" s="5" t="s">
        <v>257</v>
      </c>
      <c r="O22" s="5" t="s">
        <v>51</v>
      </c>
      <c r="P22" s="6"/>
      <c r="Q22" s="23">
        <v>9000</v>
      </c>
      <c r="R22" s="4" t="s">
        <v>3</v>
      </c>
      <c r="S22" s="2">
        <v>14000</v>
      </c>
      <c r="T22" s="23">
        <f t="shared" ref="T22" si="21">Q22+S22+S23+S24</f>
        <v>23000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/>
      <c r="O23" s="5"/>
      <c r="P23" s="6"/>
      <c r="Q23" s="23"/>
      <c r="R23" s="4" t="s">
        <v>4</v>
      </c>
      <c r="S23" s="2"/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2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3">F25+H25+H26+H27</f>
        <v>0</v>
      </c>
      <c r="J25" s="9"/>
      <c r="L25" s="29">
        <f t="shared" ref="L25" si="24">L22+1</f>
        <v>45832</v>
      </c>
      <c r="M25" s="4" t="s">
        <v>3</v>
      </c>
      <c r="N25" s="5" t="s">
        <v>258</v>
      </c>
      <c r="O25" s="5" t="s">
        <v>51</v>
      </c>
      <c r="P25" s="6"/>
      <c r="Q25" s="23">
        <v>9000</v>
      </c>
      <c r="R25" s="4" t="s">
        <v>3</v>
      </c>
      <c r="S25" s="2">
        <v>14000</v>
      </c>
      <c r="T25" s="23">
        <f t="shared" ref="T25" si="25">Q25+S25+S26+S27</f>
        <v>23000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/>
      <c r="O26" s="5"/>
      <c r="P26" s="6"/>
      <c r="Q26" s="23"/>
      <c r="R26" s="4" t="s">
        <v>4</v>
      </c>
      <c r="S26" s="2"/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6">A25+1</f>
        <v>45817</v>
      </c>
      <c r="B28" s="4" t="s">
        <v>3</v>
      </c>
      <c r="C28" s="5" t="s">
        <v>225</v>
      </c>
      <c r="D28" s="5" t="s">
        <v>51</v>
      </c>
      <c r="E28" s="6"/>
      <c r="F28" s="23">
        <v>9000</v>
      </c>
      <c r="G28" s="4" t="s">
        <v>3</v>
      </c>
      <c r="H28" s="2">
        <v>14000</v>
      </c>
      <c r="I28" s="23">
        <f t="shared" ref="I28" si="27">F28+H28+H29+H30</f>
        <v>23000</v>
      </c>
      <c r="J28" s="9"/>
      <c r="L28" s="29">
        <f t="shared" ref="L28" si="28">L25+1</f>
        <v>45833</v>
      </c>
      <c r="M28" s="4" t="s">
        <v>3</v>
      </c>
      <c r="N28" s="5" t="s">
        <v>260</v>
      </c>
      <c r="O28" s="5" t="s">
        <v>51</v>
      </c>
      <c r="P28" s="6"/>
      <c r="Q28" s="23">
        <v>9000</v>
      </c>
      <c r="R28" s="4" t="s">
        <v>3</v>
      </c>
      <c r="S28" s="2">
        <v>14000</v>
      </c>
      <c r="T28" s="23">
        <f t="shared" ref="T28" si="29">Q28+S28+S29+S30</f>
        <v>23000</v>
      </c>
      <c r="U28" s="9"/>
    </row>
    <row r="29" spans="1:21" x14ac:dyDescent="0.4">
      <c r="A29" s="29"/>
      <c r="B29" s="4" t="s">
        <v>4</v>
      </c>
      <c r="C29" s="5"/>
      <c r="D29" s="5"/>
      <c r="E29" s="6"/>
      <c r="F29" s="23"/>
      <c r="G29" s="4" t="s">
        <v>4</v>
      </c>
      <c r="H29" s="2"/>
      <c r="I29" s="23"/>
      <c r="J29" s="9"/>
      <c r="L29" s="29"/>
      <c r="M29" s="4" t="s">
        <v>4</v>
      </c>
      <c r="N29" s="5"/>
      <c r="O29" s="5"/>
      <c r="P29" s="6"/>
      <c r="Q29" s="23"/>
      <c r="R29" s="4" t="s">
        <v>4</v>
      </c>
      <c r="S29" s="2"/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0">A28+1</f>
        <v>45818</v>
      </c>
      <c r="B31" s="4" t="s">
        <v>3</v>
      </c>
      <c r="C31" s="5" t="s">
        <v>248</v>
      </c>
      <c r="D31" s="5" t="s">
        <v>51</v>
      </c>
      <c r="E31" s="6"/>
      <c r="F31" s="23">
        <v>9000</v>
      </c>
      <c r="G31" s="4" t="s">
        <v>3</v>
      </c>
      <c r="H31" s="2">
        <v>14000</v>
      </c>
      <c r="I31" s="23">
        <f t="shared" ref="I31" si="31">F31+H31+H32+H33</f>
        <v>23000</v>
      </c>
      <c r="J31" s="9"/>
      <c r="L31" s="29">
        <f t="shared" ref="L31" si="32">L28+1</f>
        <v>45834</v>
      </c>
      <c r="M31" s="4" t="s">
        <v>3</v>
      </c>
      <c r="N31" s="5" t="s">
        <v>261</v>
      </c>
      <c r="O31" s="5" t="s">
        <v>51</v>
      </c>
      <c r="P31" s="6"/>
      <c r="Q31" s="23">
        <v>9000</v>
      </c>
      <c r="R31" s="4" t="s">
        <v>3</v>
      </c>
      <c r="S31" s="2">
        <v>14000</v>
      </c>
      <c r="T31" s="23">
        <f t="shared" ref="T31" si="33">Q31+S31+S32+S33</f>
        <v>23000</v>
      </c>
      <c r="U31" s="9"/>
    </row>
    <row r="32" spans="1:21" x14ac:dyDescent="0.4">
      <c r="A32" s="29"/>
      <c r="B32" s="4" t="s">
        <v>4</v>
      </c>
      <c r="C32" s="5"/>
      <c r="D32" s="5"/>
      <c r="E32" s="6"/>
      <c r="F32" s="23"/>
      <c r="G32" s="4" t="s">
        <v>4</v>
      </c>
      <c r="H32" s="2"/>
      <c r="I32" s="23"/>
      <c r="J32" s="9"/>
      <c r="L32" s="29"/>
      <c r="M32" s="4" t="s">
        <v>4</v>
      </c>
      <c r="N32" s="5"/>
      <c r="O32" s="5"/>
      <c r="P32" s="6"/>
      <c r="Q32" s="23"/>
      <c r="R32" s="4" t="s">
        <v>4</v>
      </c>
      <c r="S32" s="2"/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4">A31+1</f>
        <v>45819</v>
      </c>
      <c r="B34" s="4" t="s">
        <v>3</v>
      </c>
      <c r="C34" s="5" t="s">
        <v>249</v>
      </c>
      <c r="D34" s="5" t="s">
        <v>51</v>
      </c>
      <c r="E34" s="6"/>
      <c r="F34" s="23">
        <v>9000</v>
      </c>
      <c r="G34" s="4" t="s">
        <v>3</v>
      </c>
      <c r="H34" s="2">
        <v>14000</v>
      </c>
      <c r="I34" s="23">
        <f t="shared" ref="I34" si="35">F34+H34+H35+H36</f>
        <v>23000</v>
      </c>
      <c r="J34" s="9"/>
      <c r="L34" s="29">
        <f t="shared" ref="L34" si="36">L31+1</f>
        <v>45835</v>
      </c>
      <c r="M34" s="4" t="s">
        <v>3</v>
      </c>
      <c r="N34" s="5" t="s">
        <v>259</v>
      </c>
      <c r="O34" s="5" t="s">
        <v>51</v>
      </c>
      <c r="P34" s="6"/>
      <c r="Q34" s="23">
        <v>9000</v>
      </c>
      <c r="R34" s="4" t="s">
        <v>3</v>
      </c>
      <c r="S34" s="2">
        <v>3000</v>
      </c>
      <c r="T34" s="23">
        <f t="shared" ref="T34" si="37">Q34+S34+S35+S36</f>
        <v>19500</v>
      </c>
      <c r="U34" s="9"/>
    </row>
    <row r="35" spans="1:24" x14ac:dyDescent="0.4">
      <c r="A35" s="29"/>
      <c r="B35" s="4" t="s">
        <v>4</v>
      </c>
      <c r="C35" s="5"/>
      <c r="D35" s="5"/>
      <c r="E35" s="6"/>
      <c r="F35" s="23"/>
      <c r="G35" s="4" t="s">
        <v>4</v>
      </c>
      <c r="H35" s="2"/>
      <c r="I35" s="23"/>
      <c r="J35" s="9"/>
      <c r="L35" s="29"/>
      <c r="M35" s="4" t="s">
        <v>4</v>
      </c>
      <c r="N35" s="5" t="s">
        <v>200</v>
      </c>
      <c r="O35" s="5" t="s">
        <v>51</v>
      </c>
      <c r="P35" s="6"/>
      <c r="Q35" s="23"/>
      <c r="R35" s="4" t="s">
        <v>4</v>
      </c>
      <c r="S35" s="2">
        <v>3000</v>
      </c>
      <c r="T35" s="23"/>
      <c r="U35" s="9" t="s">
        <v>240</v>
      </c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 t="s">
        <v>54</v>
      </c>
      <c r="O36" s="5" t="s">
        <v>51</v>
      </c>
      <c r="P36" s="6"/>
      <c r="Q36" s="23"/>
      <c r="R36" s="4" t="s">
        <v>5</v>
      </c>
      <c r="S36" s="2">
        <v>4500</v>
      </c>
      <c r="T36" s="23"/>
      <c r="U36" s="9"/>
    </row>
    <row r="37" spans="1:24" x14ac:dyDescent="0.4">
      <c r="A37" s="29">
        <f t="shared" ref="A37" si="38">A34+1</f>
        <v>45820</v>
      </c>
      <c r="B37" s="4" t="s">
        <v>3</v>
      </c>
      <c r="C37" s="5" t="s">
        <v>244</v>
      </c>
      <c r="D37" s="5" t="s">
        <v>51</v>
      </c>
      <c r="E37" s="6"/>
      <c r="F37" s="23">
        <v>9000</v>
      </c>
      <c r="G37" s="4" t="s">
        <v>3</v>
      </c>
      <c r="H37" s="2">
        <v>15500</v>
      </c>
      <c r="I37" s="23">
        <f t="shared" ref="I37" si="39">F37+H37+H38+H39</f>
        <v>24500</v>
      </c>
      <c r="J37" s="9"/>
      <c r="L37" s="29">
        <f t="shared" ref="L37" si="40">L34+1</f>
        <v>45836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41">Q37+S37+S38+S39</f>
        <v>0</v>
      </c>
      <c r="U37" s="9"/>
      <c r="X37">
        <f>N50</f>
        <v>5000</v>
      </c>
    </row>
    <row r="38" spans="1:24" x14ac:dyDescent="0.4">
      <c r="A38" s="29"/>
      <c r="B38" s="4" t="s">
        <v>4</v>
      </c>
      <c r="C38" s="5"/>
      <c r="D38" s="5"/>
      <c r="E38" s="6"/>
      <c r="F38" s="23"/>
      <c r="G38" s="4" t="s">
        <v>4</v>
      </c>
      <c r="H38" s="2"/>
      <c r="I38" s="23"/>
      <c r="J38" s="9"/>
      <c r="L38" s="29"/>
      <c r="M38" s="4" t="s">
        <v>4</v>
      </c>
      <c r="N38" s="5" t="s">
        <v>48</v>
      </c>
      <c r="O38" s="5"/>
      <c r="P38" s="6"/>
      <c r="Q38" s="23"/>
      <c r="R38" s="4" t="s">
        <v>4</v>
      </c>
      <c r="S38" s="2"/>
      <c r="T38" s="23"/>
      <c r="U38" s="9"/>
      <c r="X38">
        <f>O50</f>
        <v>198000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283000</v>
      </c>
    </row>
    <row r="40" spans="1:24" x14ac:dyDescent="0.4">
      <c r="A40" s="29">
        <f t="shared" ref="A40" si="42">A37+1</f>
        <v>45821</v>
      </c>
      <c r="B40" s="4" t="s">
        <v>3</v>
      </c>
      <c r="C40" s="5" t="s">
        <v>234</v>
      </c>
      <c r="D40" s="5" t="s">
        <v>51</v>
      </c>
      <c r="E40" s="6"/>
      <c r="F40" s="23">
        <v>9000</v>
      </c>
      <c r="G40" s="4" t="s">
        <v>3</v>
      </c>
      <c r="H40" s="2">
        <v>4500</v>
      </c>
      <c r="I40" s="23">
        <f>F40+H40+H41+H42</f>
        <v>13500</v>
      </c>
      <c r="J40" s="9"/>
      <c r="L40" s="29">
        <f t="shared" ref="L40" si="43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4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/>
      <c r="D41" s="5"/>
      <c r="E41" s="6"/>
      <c r="F41" s="23"/>
      <c r="G41" s="4" t="s">
        <v>4</v>
      </c>
      <c r="H41" s="2"/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5000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5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6">F43+H43+H44+H45</f>
        <v>0</v>
      </c>
      <c r="J43" s="9"/>
      <c r="L43" s="29">
        <f t="shared" ref="L43" si="47">L40+1</f>
        <v>45838</v>
      </c>
      <c r="M43" s="4" t="s">
        <v>3</v>
      </c>
      <c r="N43" s="5" t="s">
        <v>262</v>
      </c>
      <c r="O43" s="5" t="s">
        <v>51</v>
      </c>
      <c r="P43" s="6"/>
      <c r="Q43" s="23">
        <v>9000</v>
      </c>
      <c r="R43" s="4" t="s">
        <v>3</v>
      </c>
      <c r="S43" s="2">
        <v>7500</v>
      </c>
      <c r="T43" s="23">
        <f t="shared" ref="T43" si="48">Q43+S43+S44+S45</f>
        <v>16500</v>
      </c>
      <c r="U43" s="9" t="s">
        <v>103</v>
      </c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/>
      <c r="O44" s="5"/>
      <c r="P44" s="6"/>
      <c r="Q44" s="23"/>
      <c r="R44" s="4" t="s">
        <v>4</v>
      </c>
      <c r="S44" s="2"/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49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0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1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2">A46+1</f>
        <v>45824</v>
      </c>
      <c r="B49" s="4" t="s">
        <v>3</v>
      </c>
      <c r="C49" s="5" t="s">
        <v>250</v>
      </c>
      <c r="D49" s="5" t="s">
        <v>51</v>
      </c>
      <c r="E49" s="6"/>
      <c r="F49" s="23">
        <v>9000</v>
      </c>
      <c r="G49" s="4" t="s">
        <v>3</v>
      </c>
      <c r="H49" s="2">
        <v>14000</v>
      </c>
      <c r="I49" s="23">
        <f t="shared" ref="I49" si="53">F49+H49+H50+H51</f>
        <v>23000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/>
      <c r="D50" s="5"/>
      <c r="E50" s="6"/>
      <c r="F50" s="23"/>
      <c r="G50" s="4" t="s">
        <v>4</v>
      </c>
      <c r="H50" s="2"/>
      <c r="I50" s="23"/>
      <c r="J50" s="9"/>
      <c r="L50" s="27">
        <f>W7</f>
        <v>22</v>
      </c>
      <c r="M50" s="28" t="s">
        <v>12</v>
      </c>
      <c r="N50" s="23">
        <f>MAX((L50-21)*5000,0)</f>
        <v>5000</v>
      </c>
      <c r="O50" s="31">
        <f>SUM(F4:F51,Q4:Q48)</f>
        <v>198000</v>
      </c>
      <c r="P50" s="31"/>
      <c r="Q50" s="31"/>
      <c r="R50" s="31"/>
      <c r="S50" s="23">
        <f>SUM(H4:H51,S4:S48)</f>
        <v>283000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29</v>
      </c>
      <c r="I53" s="23"/>
      <c r="J53" s="41">
        <v>45859</v>
      </c>
      <c r="L53" s="56" t="s">
        <v>41</v>
      </c>
      <c r="M53" s="57"/>
      <c r="N53" s="57"/>
      <c r="O53" s="57"/>
      <c r="P53" s="19"/>
      <c r="Q53" s="31">
        <v>5000</v>
      </c>
      <c r="R53" s="31"/>
      <c r="S53" s="23">
        <v>30000</v>
      </c>
      <c r="T53" s="23"/>
      <c r="U53" s="39">
        <f>SUM(X37:X42)</f>
        <v>531000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U53:U55"/>
    <mergeCell ref="Q55:R55"/>
    <mergeCell ref="S55:T55"/>
    <mergeCell ref="L50:L51"/>
    <mergeCell ref="M50:M51"/>
    <mergeCell ref="N50:N51"/>
    <mergeCell ref="H52:I52"/>
    <mergeCell ref="L52:O52"/>
    <mergeCell ref="Q52:R52"/>
    <mergeCell ref="S52:T52"/>
    <mergeCell ref="H53:I55"/>
    <mergeCell ref="J53:J55"/>
    <mergeCell ref="L53:O55"/>
    <mergeCell ref="Q53:R54"/>
    <mergeCell ref="S53:T54"/>
    <mergeCell ref="U50:U51"/>
    <mergeCell ref="A1:J2"/>
    <mergeCell ref="L1:U2"/>
    <mergeCell ref="B3:C3"/>
    <mergeCell ref="G3:H3"/>
    <mergeCell ref="M3:N3"/>
    <mergeCell ref="R3:S3"/>
    <mergeCell ref="A4:A6"/>
    <mergeCell ref="F4:F6"/>
    <mergeCell ref="I4:I6"/>
    <mergeCell ref="L4:L6"/>
    <mergeCell ref="Q4:Q6"/>
    <mergeCell ref="T4:T6"/>
    <mergeCell ref="A7:A9"/>
    <mergeCell ref="F7:F9"/>
    <mergeCell ref="I7:I9"/>
    <mergeCell ref="L7:L9"/>
    <mergeCell ref="Q7:Q9"/>
    <mergeCell ref="T7:T9"/>
    <mergeCell ref="A13:A15"/>
    <mergeCell ref="F13:F15"/>
    <mergeCell ref="I13:I15"/>
    <mergeCell ref="L13:L15"/>
    <mergeCell ref="Q13:Q15"/>
    <mergeCell ref="T13:T15"/>
    <mergeCell ref="A10:A12"/>
    <mergeCell ref="F10:F12"/>
    <mergeCell ref="I10:I12"/>
    <mergeCell ref="L10:L12"/>
    <mergeCell ref="Q10:Q12"/>
    <mergeCell ref="T10:T12"/>
    <mergeCell ref="A19:A21"/>
    <mergeCell ref="F19:F21"/>
    <mergeCell ref="I19:I21"/>
    <mergeCell ref="L19:L21"/>
    <mergeCell ref="Q19:Q21"/>
    <mergeCell ref="T19:T21"/>
    <mergeCell ref="A16:A18"/>
    <mergeCell ref="F16:F18"/>
    <mergeCell ref="I16:I18"/>
    <mergeCell ref="L16:L18"/>
    <mergeCell ref="Q16:Q18"/>
    <mergeCell ref="T16:T18"/>
    <mergeCell ref="A25:A27"/>
    <mergeCell ref="F25:F27"/>
    <mergeCell ref="I25:I27"/>
    <mergeCell ref="L25:L27"/>
    <mergeCell ref="Q25:Q27"/>
    <mergeCell ref="T25:T27"/>
    <mergeCell ref="A22:A24"/>
    <mergeCell ref="F22:F24"/>
    <mergeCell ref="I22:I24"/>
    <mergeCell ref="L22:L24"/>
    <mergeCell ref="Q22:Q24"/>
    <mergeCell ref="T22:T24"/>
    <mergeCell ref="A31:A33"/>
    <mergeCell ref="F31:F33"/>
    <mergeCell ref="I31:I33"/>
    <mergeCell ref="L31:L33"/>
    <mergeCell ref="Q31:Q33"/>
    <mergeCell ref="T31:T33"/>
    <mergeCell ref="A28:A30"/>
    <mergeCell ref="F28:F30"/>
    <mergeCell ref="I28:I30"/>
    <mergeCell ref="L28:L30"/>
    <mergeCell ref="Q28:Q30"/>
    <mergeCell ref="T28:T30"/>
    <mergeCell ref="A37:A39"/>
    <mergeCell ref="F37:F39"/>
    <mergeCell ref="I37:I39"/>
    <mergeCell ref="L37:L39"/>
    <mergeCell ref="Q37:Q39"/>
    <mergeCell ref="T37:T39"/>
    <mergeCell ref="A34:A36"/>
    <mergeCell ref="F34:F36"/>
    <mergeCell ref="I34:I36"/>
    <mergeCell ref="L34:L36"/>
    <mergeCell ref="Q34:Q36"/>
    <mergeCell ref="T34:T36"/>
    <mergeCell ref="A43:A45"/>
    <mergeCell ref="F43:F45"/>
    <mergeCell ref="I43:I45"/>
    <mergeCell ref="L43:L45"/>
    <mergeCell ref="Q43:Q45"/>
    <mergeCell ref="T43:T45"/>
    <mergeCell ref="A40:A42"/>
    <mergeCell ref="F40:F42"/>
    <mergeCell ref="I40:I42"/>
    <mergeCell ref="L40:L42"/>
    <mergeCell ref="Q40:Q42"/>
    <mergeCell ref="T40:T42"/>
    <mergeCell ref="A49:A51"/>
    <mergeCell ref="F49:F51"/>
    <mergeCell ref="I49:I51"/>
    <mergeCell ref="L49:M49"/>
    <mergeCell ref="O49:R49"/>
    <mergeCell ref="S49:T49"/>
    <mergeCell ref="O50:R51"/>
    <mergeCell ref="S50:T51"/>
    <mergeCell ref="A46:A48"/>
    <mergeCell ref="F46:F48"/>
    <mergeCell ref="I46:I48"/>
    <mergeCell ref="L46:L48"/>
    <mergeCell ref="Q46:Q48"/>
    <mergeCell ref="T46:T48"/>
  </mergeCells>
  <phoneticPr fontId="1"/>
  <dataValidations count="1">
    <dataValidation type="list" allowBlank="1" showInputMessage="1" showErrorMessage="1" sqref="D4:D51 O4:O48" xr:uid="{B12B5B59-BE3B-4705-9D20-CC36BFCB1A3A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694A-D3CA-4B2F-A70A-372A10536CC1}">
  <sheetPr>
    <pageSetUpPr fitToPage="1"/>
  </sheetPr>
  <dimension ref="A1:X56"/>
  <sheetViews>
    <sheetView topLeftCell="A36" workbookViewId="0">
      <selection activeCell="F10" sqref="F10:F12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 t="s">
        <v>310</v>
      </c>
      <c r="D4" s="5" t="s">
        <v>51</v>
      </c>
      <c r="E4" s="6"/>
      <c r="F4" s="23">
        <v>9000</v>
      </c>
      <c r="G4" s="4" t="s">
        <v>3</v>
      </c>
      <c r="H4" s="2"/>
      <c r="I4" s="23">
        <f>F4+H4+H5+H6</f>
        <v>9000</v>
      </c>
      <c r="J4" s="9" t="s">
        <v>312</v>
      </c>
      <c r="L4" s="29">
        <f>A49+1</f>
        <v>45825</v>
      </c>
      <c r="M4" s="4" t="s">
        <v>3</v>
      </c>
      <c r="N4" s="5" t="s">
        <v>268</v>
      </c>
      <c r="O4" s="5" t="s">
        <v>51</v>
      </c>
      <c r="P4" s="6"/>
      <c r="Q4" s="23">
        <v>9000</v>
      </c>
      <c r="R4" s="4" t="s">
        <v>3</v>
      </c>
      <c r="S4" s="2">
        <v>12500</v>
      </c>
      <c r="T4" s="23">
        <f t="shared" ref="T4" si="0">Q4+S4+S5+S6</f>
        <v>21500</v>
      </c>
      <c r="U4" s="9"/>
      <c r="W4" s="1" t="s">
        <v>14</v>
      </c>
    </row>
    <row r="5" spans="1:23" x14ac:dyDescent="0.4">
      <c r="A5" s="29"/>
      <c r="B5" s="4" t="s">
        <v>4</v>
      </c>
      <c r="C5" s="5"/>
      <c r="D5" s="5"/>
      <c r="E5" s="6"/>
      <c r="F5" s="23"/>
      <c r="G5" s="4" t="s">
        <v>4</v>
      </c>
      <c r="H5" s="2"/>
      <c r="I5" s="23"/>
      <c r="J5" s="9" t="s">
        <v>313</v>
      </c>
      <c r="L5" s="29"/>
      <c r="M5" s="4" t="s">
        <v>4</v>
      </c>
      <c r="N5" s="5"/>
      <c r="O5" s="5"/>
      <c r="P5" s="6"/>
      <c r="Q5" s="23"/>
      <c r="R5" s="4" t="s">
        <v>4</v>
      </c>
      <c r="S5" s="2"/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241</v>
      </c>
      <c r="D7" s="5" t="s">
        <v>51</v>
      </c>
      <c r="E7" s="6"/>
      <c r="F7" s="23">
        <v>9000</v>
      </c>
      <c r="G7" s="4" t="s">
        <v>3</v>
      </c>
      <c r="H7" s="2">
        <v>14000</v>
      </c>
      <c r="I7" s="23">
        <f t="shared" ref="I7" si="1">F7+H7+H8+H9</f>
        <v>23000</v>
      </c>
      <c r="J7" s="9"/>
      <c r="L7" s="29">
        <f>L4+1</f>
        <v>45826</v>
      </c>
      <c r="M7" s="4" t="s">
        <v>3</v>
      </c>
      <c r="N7" s="5" t="s">
        <v>269</v>
      </c>
      <c r="O7" s="5" t="s">
        <v>51</v>
      </c>
      <c r="P7" s="6"/>
      <c r="Q7" s="23">
        <v>9000</v>
      </c>
      <c r="R7" s="4" t="s">
        <v>3</v>
      </c>
      <c r="S7" s="2">
        <v>14000</v>
      </c>
      <c r="T7" s="23">
        <f t="shared" ref="T7" si="2">Q7+S7+S8+S9</f>
        <v>23000</v>
      </c>
      <c r="U7" s="9"/>
      <c r="W7">
        <f>COUNT(F4:F51,Q4:Q48)</f>
        <v>25</v>
      </c>
    </row>
    <row r="8" spans="1:23" x14ac:dyDescent="0.4">
      <c r="A8" s="29"/>
      <c r="B8" s="4" t="s">
        <v>4</v>
      </c>
      <c r="C8" s="5"/>
      <c r="D8" s="5"/>
      <c r="E8" s="6"/>
      <c r="F8" s="23"/>
      <c r="G8" s="4" t="s">
        <v>4</v>
      </c>
      <c r="H8" s="2"/>
      <c r="I8" s="23"/>
      <c r="J8" s="9"/>
      <c r="L8" s="29"/>
      <c r="M8" s="4" t="s">
        <v>4</v>
      </c>
      <c r="N8" s="5"/>
      <c r="O8" s="5"/>
      <c r="P8" s="6"/>
      <c r="Q8" s="23"/>
      <c r="R8" s="4" t="s">
        <v>4</v>
      </c>
      <c r="S8" s="2"/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3">A7+1</f>
        <v>45811</v>
      </c>
      <c r="B10" s="4" t="s">
        <v>3</v>
      </c>
      <c r="C10" s="5"/>
      <c r="D10" s="5"/>
      <c r="E10" s="6"/>
      <c r="F10" s="23"/>
      <c r="G10" s="4" t="s">
        <v>3</v>
      </c>
      <c r="H10" s="2"/>
      <c r="I10" s="23">
        <f t="shared" ref="I10" si="4">F10+H10+H11+H12</f>
        <v>0</v>
      </c>
      <c r="J10" s="9"/>
      <c r="L10" s="29">
        <f t="shared" ref="L10" si="5">L7+1</f>
        <v>45827</v>
      </c>
      <c r="M10" s="4" t="s">
        <v>3</v>
      </c>
      <c r="N10" s="5" t="s">
        <v>270</v>
      </c>
      <c r="O10" s="5" t="s">
        <v>51</v>
      </c>
      <c r="P10" s="6"/>
      <c r="Q10" s="23">
        <v>9000</v>
      </c>
      <c r="R10" s="4" t="s">
        <v>3</v>
      </c>
      <c r="S10" s="2">
        <v>14000</v>
      </c>
      <c r="T10" s="23">
        <f t="shared" ref="T10" si="6">Q10+S10+S11+S12</f>
        <v>23000</v>
      </c>
      <c r="U10" s="9"/>
    </row>
    <row r="11" spans="1:23" x14ac:dyDescent="0.4">
      <c r="A11" s="29"/>
      <c r="B11" s="4" t="s">
        <v>4</v>
      </c>
      <c r="C11" s="5" t="s">
        <v>48</v>
      </c>
      <c r="D11" s="5"/>
      <c r="E11" s="6"/>
      <c r="F11" s="23"/>
      <c r="G11" s="4" t="s">
        <v>4</v>
      </c>
      <c r="H11" s="2"/>
      <c r="I11" s="23"/>
      <c r="J11" s="9"/>
      <c r="L11" s="29"/>
      <c r="M11" s="4" t="s">
        <v>4</v>
      </c>
      <c r="N11" s="5"/>
      <c r="O11" s="5"/>
      <c r="P11" s="6"/>
      <c r="Q11" s="23"/>
      <c r="R11" s="4" t="s">
        <v>4</v>
      </c>
      <c r="S11" s="2"/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7">A10+1</f>
        <v>45812</v>
      </c>
      <c r="B13" s="4" t="s">
        <v>3</v>
      </c>
      <c r="C13" s="5" t="s">
        <v>263</v>
      </c>
      <c r="D13" s="5" t="s">
        <v>51</v>
      </c>
      <c r="E13" s="6"/>
      <c r="F13" s="23">
        <v>9000</v>
      </c>
      <c r="G13" s="4" t="s">
        <v>3</v>
      </c>
      <c r="H13" s="2">
        <v>14000</v>
      </c>
      <c r="I13" s="23">
        <f t="shared" ref="I13" si="8">F13+H13+H14+H15</f>
        <v>23000</v>
      </c>
      <c r="J13" s="9"/>
      <c r="L13" s="29">
        <f t="shared" ref="L13" si="9">L10+1</f>
        <v>45828</v>
      </c>
      <c r="M13" s="4" t="s">
        <v>3</v>
      </c>
      <c r="N13" s="5" t="s">
        <v>239</v>
      </c>
      <c r="O13" s="5" t="s">
        <v>51</v>
      </c>
      <c r="P13" s="6"/>
      <c r="Q13" s="23">
        <v>9000</v>
      </c>
      <c r="R13" s="4" t="s">
        <v>3</v>
      </c>
      <c r="S13" s="2">
        <v>14000</v>
      </c>
      <c r="T13" s="23">
        <f t="shared" ref="T13" si="10">Q13+S13+S14+S15</f>
        <v>23000</v>
      </c>
      <c r="U13" s="9"/>
    </row>
    <row r="14" spans="1:23" x14ac:dyDescent="0.4">
      <c r="A14" s="29"/>
      <c r="B14" s="4" t="s">
        <v>4</v>
      </c>
      <c r="C14" s="5"/>
      <c r="D14" s="5"/>
      <c r="E14" s="6"/>
      <c r="F14" s="23"/>
      <c r="G14" s="4" t="s">
        <v>4</v>
      </c>
      <c r="H14" s="2"/>
      <c r="I14" s="23"/>
      <c r="J14" s="9"/>
      <c r="L14" s="29"/>
      <c r="M14" s="4" t="s">
        <v>4</v>
      </c>
      <c r="N14" s="5"/>
      <c r="O14" s="5"/>
      <c r="P14" s="6"/>
      <c r="Q14" s="23"/>
      <c r="R14" s="4" t="s">
        <v>4</v>
      </c>
      <c r="S14" s="2"/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1">A13+1</f>
        <v>45813</v>
      </c>
      <c r="B16" s="4" t="s">
        <v>3</v>
      </c>
      <c r="C16" s="5" t="s">
        <v>264</v>
      </c>
      <c r="D16" s="5" t="s">
        <v>51</v>
      </c>
      <c r="E16" s="6"/>
      <c r="F16" s="23">
        <v>9000</v>
      </c>
      <c r="G16" s="4" t="s">
        <v>3</v>
      </c>
      <c r="H16" s="2">
        <v>14000</v>
      </c>
      <c r="I16" s="23">
        <f t="shared" ref="I16" si="12">F16+H16+H17+H18</f>
        <v>23000</v>
      </c>
      <c r="J16" s="9"/>
      <c r="L16" s="29">
        <f t="shared" ref="L16" si="13">L13+1</f>
        <v>45829</v>
      </c>
      <c r="M16" s="4" t="s">
        <v>3</v>
      </c>
      <c r="N16" s="5" t="s">
        <v>271</v>
      </c>
      <c r="O16" s="5" t="s">
        <v>51</v>
      </c>
      <c r="P16" s="6"/>
      <c r="Q16" s="23">
        <v>9000</v>
      </c>
      <c r="R16" s="4" t="s">
        <v>3</v>
      </c>
      <c r="S16" s="2">
        <v>4200</v>
      </c>
      <c r="T16" s="23">
        <f t="shared" ref="T16" si="14">Q16+S16+S17+S18</f>
        <v>13200</v>
      </c>
      <c r="U16" s="9"/>
    </row>
    <row r="17" spans="1:21" x14ac:dyDescent="0.4">
      <c r="A17" s="29"/>
      <c r="B17" s="4" t="s">
        <v>4</v>
      </c>
      <c r="C17" s="5"/>
      <c r="D17" s="5"/>
      <c r="E17" s="6"/>
      <c r="F17" s="23"/>
      <c r="G17" s="4" t="s">
        <v>4</v>
      </c>
      <c r="H17" s="2"/>
      <c r="I17" s="23"/>
      <c r="J17" s="9"/>
      <c r="L17" s="29"/>
      <c r="M17" s="4" t="s">
        <v>4</v>
      </c>
      <c r="N17" s="5"/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45814</v>
      </c>
      <c r="B19" s="4" t="s">
        <v>3</v>
      </c>
      <c r="C19" s="5" t="s">
        <v>251</v>
      </c>
      <c r="D19" s="5" t="s">
        <v>51</v>
      </c>
      <c r="E19" s="6"/>
      <c r="F19" s="23">
        <v>9000</v>
      </c>
      <c r="G19" s="4" t="s">
        <v>3</v>
      </c>
      <c r="H19" s="2">
        <v>14000</v>
      </c>
      <c r="I19" s="23">
        <f t="shared" ref="I19" si="16">F19+H19+H20+H21</f>
        <v>23000</v>
      </c>
      <c r="J19" s="9"/>
      <c r="L19" s="29">
        <f t="shared" ref="L19" si="17">L16+1</f>
        <v>45830</v>
      </c>
      <c r="M19" s="4" t="s">
        <v>3</v>
      </c>
      <c r="N19" s="5" t="s">
        <v>309</v>
      </c>
      <c r="O19" s="5" t="s">
        <v>51</v>
      </c>
      <c r="P19" s="6"/>
      <c r="Q19" s="23">
        <v>9000</v>
      </c>
      <c r="R19" s="4" t="s">
        <v>3</v>
      </c>
      <c r="S19" s="2">
        <v>9800</v>
      </c>
      <c r="T19" s="23">
        <f t="shared" ref="T19" si="18">Q19+S19+S20+S21</f>
        <v>18800</v>
      </c>
      <c r="U19" s="9"/>
    </row>
    <row r="20" spans="1:21" x14ac:dyDescent="0.4">
      <c r="A20" s="29"/>
      <c r="B20" s="4" t="s">
        <v>4</v>
      </c>
      <c r="C20" s="5"/>
      <c r="D20" s="5"/>
      <c r="E20" s="6"/>
      <c r="F20" s="23"/>
      <c r="G20" s="4" t="s">
        <v>4</v>
      </c>
      <c r="H20" s="2"/>
      <c r="I20" s="23"/>
      <c r="J20" s="9"/>
      <c r="L20" s="29"/>
      <c r="M20" s="4" t="s">
        <v>4</v>
      </c>
      <c r="N20" s="5"/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45815</v>
      </c>
      <c r="B22" s="4" t="s">
        <v>3</v>
      </c>
      <c r="C22" s="5" t="s">
        <v>232</v>
      </c>
      <c r="D22" s="5" t="s">
        <v>51</v>
      </c>
      <c r="E22" s="6"/>
      <c r="F22" s="23">
        <v>9000</v>
      </c>
      <c r="G22" s="4" t="s">
        <v>3</v>
      </c>
      <c r="H22" s="2">
        <v>14000</v>
      </c>
      <c r="I22" s="23">
        <f t="shared" ref="I22" si="20">F22+H22+H23+H24</f>
        <v>23000</v>
      </c>
      <c r="J22" s="9"/>
      <c r="L22" s="29">
        <f t="shared" ref="L22" si="21">L19+1</f>
        <v>45831</v>
      </c>
      <c r="M22" s="4" t="s">
        <v>3</v>
      </c>
      <c r="N22" s="5" t="s">
        <v>272</v>
      </c>
      <c r="O22" s="5" t="s">
        <v>51</v>
      </c>
      <c r="P22" s="6"/>
      <c r="Q22" s="23">
        <v>9000</v>
      </c>
      <c r="R22" s="4" t="s">
        <v>3</v>
      </c>
      <c r="S22" s="2">
        <v>14000</v>
      </c>
      <c r="T22" s="23">
        <f t="shared" ref="T22" si="22">Q22+S22+S23+S24</f>
        <v>23000</v>
      </c>
      <c r="U22" s="9"/>
    </row>
    <row r="23" spans="1:21" x14ac:dyDescent="0.4">
      <c r="A23" s="29"/>
      <c r="B23" s="4" t="s">
        <v>4</v>
      </c>
      <c r="C23" s="5"/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/>
      <c r="O23" s="5"/>
      <c r="P23" s="6"/>
      <c r="Q23" s="23"/>
      <c r="R23" s="4" t="s">
        <v>4</v>
      </c>
      <c r="S23" s="2"/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3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4">F25+H25+H26+H27</f>
        <v>0</v>
      </c>
      <c r="J25" s="9"/>
      <c r="L25" s="29">
        <f t="shared" ref="L25" si="25">L22+1</f>
        <v>45832</v>
      </c>
      <c r="M25" s="4" t="s">
        <v>3</v>
      </c>
      <c r="N25" s="5" t="s">
        <v>273</v>
      </c>
      <c r="O25" s="5" t="s">
        <v>51</v>
      </c>
      <c r="P25" s="6"/>
      <c r="Q25" s="23">
        <v>9000</v>
      </c>
      <c r="R25" s="4" t="s">
        <v>3</v>
      </c>
      <c r="S25" s="2">
        <v>14000</v>
      </c>
      <c r="T25" s="23">
        <f t="shared" ref="T25" si="26">Q25+S25+S26+S27</f>
        <v>23000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/>
      <c r="O26" s="5"/>
      <c r="P26" s="6"/>
      <c r="Q26" s="23"/>
      <c r="R26" s="4" t="s">
        <v>4</v>
      </c>
      <c r="S26" s="2"/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7">A25+1</f>
        <v>45817</v>
      </c>
      <c r="B28" s="4" t="s">
        <v>3</v>
      </c>
      <c r="C28" s="5" t="s">
        <v>265</v>
      </c>
      <c r="D28" s="5" t="s">
        <v>51</v>
      </c>
      <c r="E28" s="6"/>
      <c r="F28" s="23">
        <v>9000</v>
      </c>
      <c r="G28" s="4" t="s">
        <v>3</v>
      </c>
      <c r="H28" s="2">
        <v>14000</v>
      </c>
      <c r="I28" s="23">
        <f t="shared" ref="I28" si="28">F28+H28+H29+H30</f>
        <v>23000</v>
      </c>
      <c r="J28" s="9"/>
      <c r="L28" s="29">
        <f t="shared" ref="L28" si="29">L25+1</f>
        <v>45833</v>
      </c>
      <c r="M28" s="4" t="s">
        <v>3</v>
      </c>
      <c r="N28" s="5" t="s">
        <v>274</v>
      </c>
      <c r="O28" s="5" t="s">
        <v>51</v>
      </c>
      <c r="P28" s="6"/>
      <c r="Q28" s="23">
        <v>9000</v>
      </c>
      <c r="R28" s="4" t="s">
        <v>3</v>
      </c>
      <c r="S28" s="2">
        <v>14000</v>
      </c>
      <c r="T28" s="23">
        <f t="shared" ref="T28" si="30">Q28+S28+S29+S30</f>
        <v>23000</v>
      </c>
      <c r="U28" s="9"/>
    </row>
    <row r="29" spans="1:21" x14ac:dyDescent="0.4">
      <c r="A29" s="29"/>
      <c r="B29" s="4" t="s">
        <v>4</v>
      </c>
      <c r="C29" s="5"/>
      <c r="D29" s="5"/>
      <c r="E29" s="6"/>
      <c r="F29" s="23"/>
      <c r="G29" s="4" t="s">
        <v>4</v>
      </c>
      <c r="H29" s="2"/>
      <c r="I29" s="23"/>
      <c r="J29" s="9"/>
      <c r="L29" s="29"/>
      <c r="M29" s="4" t="s">
        <v>4</v>
      </c>
      <c r="N29" s="5"/>
      <c r="O29" s="5"/>
      <c r="P29" s="6"/>
      <c r="Q29" s="23"/>
      <c r="R29" s="4" t="s">
        <v>4</v>
      </c>
      <c r="S29" s="2"/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45818</v>
      </c>
      <c r="B31" s="4" t="s">
        <v>3</v>
      </c>
      <c r="C31" s="5" t="s">
        <v>266</v>
      </c>
      <c r="D31" s="5" t="s">
        <v>51</v>
      </c>
      <c r="E31" s="6"/>
      <c r="F31" s="23">
        <v>9000</v>
      </c>
      <c r="G31" s="4" t="s">
        <v>3</v>
      </c>
      <c r="H31" s="2">
        <v>15500</v>
      </c>
      <c r="I31" s="23">
        <f t="shared" ref="I31" si="32">F31+H31+H32+H33</f>
        <v>24500</v>
      </c>
      <c r="J31" s="9"/>
      <c r="L31" s="29">
        <f t="shared" ref="L31" si="33">L28+1</f>
        <v>45834</v>
      </c>
      <c r="M31" s="4" t="s">
        <v>3</v>
      </c>
      <c r="N31" s="5" t="s">
        <v>275</v>
      </c>
      <c r="O31" s="5" t="s">
        <v>51</v>
      </c>
      <c r="P31" s="6"/>
      <c r="Q31" s="23">
        <v>9000</v>
      </c>
      <c r="R31" s="4" t="s">
        <v>3</v>
      </c>
      <c r="S31" s="2">
        <v>14000</v>
      </c>
      <c r="T31" s="23">
        <f t="shared" ref="T31" si="34">Q31+S31+S32+S33</f>
        <v>23000</v>
      </c>
      <c r="U31" s="9"/>
    </row>
    <row r="32" spans="1:21" x14ac:dyDescent="0.4">
      <c r="A32" s="29"/>
      <c r="B32" s="4" t="s">
        <v>4</v>
      </c>
      <c r="C32" s="5"/>
      <c r="D32" s="5"/>
      <c r="E32" s="6"/>
      <c r="F32" s="23"/>
      <c r="G32" s="4" t="s">
        <v>4</v>
      </c>
      <c r="H32" s="2"/>
      <c r="I32" s="23"/>
      <c r="J32" s="9"/>
      <c r="L32" s="29"/>
      <c r="M32" s="4" t="s">
        <v>4</v>
      </c>
      <c r="N32" s="5"/>
      <c r="O32" s="5"/>
      <c r="P32" s="6"/>
      <c r="Q32" s="23"/>
      <c r="R32" s="4" t="s">
        <v>4</v>
      </c>
      <c r="S32" s="2"/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5">A31+1</f>
        <v>45819</v>
      </c>
      <c r="B34" s="4" t="s">
        <v>3</v>
      </c>
      <c r="C34" s="5" t="s">
        <v>257</v>
      </c>
      <c r="D34" s="5" t="s">
        <v>51</v>
      </c>
      <c r="E34" s="6"/>
      <c r="F34" s="23">
        <v>9000</v>
      </c>
      <c r="G34" s="4" t="s">
        <v>3</v>
      </c>
      <c r="H34" s="2">
        <v>14000</v>
      </c>
      <c r="I34" s="23">
        <f t="shared" ref="I34" si="36">F34+H34+H35+H36</f>
        <v>23000</v>
      </c>
      <c r="J34" s="9"/>
      <c r="L34" s="29">
        <f t="shared" ref="L34" si="37">L31+1</f>
        <v>45835</v>
      </c>
      <c r="M34" s="4" t="s">
        <v>3</v>
      </c>
      <c r="N34" s="5" t="s">
        <v>276</v>
      </c>
      <c r="O34" s="5" t="s">
        <v>51</v>
      </c>
      <c r="P34" s="6"/>
      <c r="Q34" s="23">
        <v>9000</v>
      </c>
      <c r="R34" s="4" t="s">
        <v>3</v>
      </c>
      <c r="S34" s="2">
        <v>15500</v>
      </c>
      <c r="T34" s="23">
        <f t="shared" ref="T34" si="38">Q34+S34+S35+S36</f>
        <v>24500</v>
      </c>
      <c r="U34" s="9"/>
    </row>
    <row r="35" spans="1:24" x14ac:dyDescent="0.4">
      <c r="A35" s="29"/>
      <c r="B35" s="4" t="s">
        <v>4</v>
      </c>
      <c r="C35" s="5"/>
      <c r="D35" s="5"/>
      <c r="E35" s="6"/>
      <c r="F35" s="23"/>
      <c r="G35" s="4" t="s">
        <v>4</v>
      </c>
      <c r="H35" s="2"/>
      <c r="I35" s="23"/>
      <c r="J35" s="9"/>
      <c r="L35" s="29"/>
      <c r="M35" s="4" t="s">
        <v>4</v>
      </c>
      <c r="N35" s="5"/>
      <c r="O35" s="5"/>
      <c r="P35" s="6"/>
      <c r="Q35" s="23"/>
      <c r="R35" s="4" t="s">
        <v>4</v>
      </c>
      <c r="S35" s="2"/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45820</v>
      </c>
      <c r="B37" s="4" t="s">
        <v>3</v>
      </c>
      <c r="C37" s="5" t="s">
        <v>246</v>
      </c>
      <c r="D37" s="5" t="s">
        <v>51</v>
      </c>
      <c r="E37" s="6"/>
      <c r="F37" s="23">
        <v>9000</v>
      </c>
      <c r="G37" s="4" t="s">
        <v>3</v>
      </c>
      <c r="H37" s="2">
        <v>14000</v>
      </c>
      <c r="I37" s="23">
        <f t="shared" ref="I37" si="40">F37+H37+H38+H39</f>
        <v>23000</v>
      </c>
      <c r="J37" s="9"/>
      <c r="L37" s="29">
        <f t="shared" ref="L37" si="41">L34+1</f>
        <v>45836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42">Q37+S37+S38+S39</f>
        <v>0</v>
      </c>
      <c r="U37" s="9"/>
      <c r="X37">
        <f>N50</f>
        <v>20000</v>
      </c>
    </row>
    <row r="38" spans="1:24" x14ac:dyDescent="0.4">
      <c r="A38" s="29"/>
      <c r="B38" s="4" t="s">
        <v>4</v>
      </c>
      <c r="C38" s="5"/>
      <c r="D38" s="5"/>
      <c r="E38" s="6"/>
      <c r="F38" s="23"/>
      <c r="G38" s="4" t="s">
        <v>4</v>
      </c>
      <c r="H38" s="2"/>
      <c r="I38" s="23"/>
      <c r="J38" s="9"/>
      <c r="L38" s="29"/>
      <c r="M38" s="4" t="s">
        <v>4</v>
      </c>
      <c r="N38" s="5" t="s">
        <v>48</v>
      </c>
      <c r="O38" s="5"/>
      <c r="P38" s="6"/>
      <c r="Q38" s="23"/>
      <c r="R38" s="4" t="s">
        <v>4</v>
      </c>
      <c r="S38" s="2"/>
      <c r="T38" s="23"/>
      <c r="U38" s="9"/>
      <c r="X38">
        <f>O50</f>
        <v>225000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299000</v>
      </c>
    </row>
    <row r="40" spans="1:24" x14ac:dyDescent="0.4">
      <c r="A40" s="29">
        <f t="shared" ref="A40" si="43">A37+1</f>
        <v>45821</v>
      </c>
      <c r="B40" s="4" t="s">
        <v>3</v>
      </c>
      <c r="C40" s="5" t="s">
        <v>311</v>
      </c>
      <c r="D40" s="5" t="s">
        <v>51</v>
      </c>
      <c r="E40" s="6"/>
      <c r="F40" s="23">
        <v>9000</v>
      </c>
      <c r="G40" s="4" t="s">
        <v>3</v>
      </c>
      <c r="H40" s="2">
        <v>4200</v>
      </c>
      <c r="I40" s="23">
        <f t="shared" ref="I40" si="44">F40+H40+H41+H42</f>
        <v>13200</v>
      </c>
      <c r="J40" s="9"/>
      <c r="L40" s="29">
        <f t="shared" ref="L40" si="45">L37+1</f>
        <v>45837</v>
      </c>
      <c r="M40" s="4" t="s">
        <v>3</v>
      </c>
      <c r="N40" s="5" t="s">
        <v>48</v>
      </c>
      <c r="O40" s="5"/>
      <c r="P40" s="6"/>
      <c r="Q40" s="23"/>
      <c r="R40" s="4" t="s">
        <v>3</v>
      </c>
      <c r="S40" s="2"/>
      <c r="T40" s="23">
        <f t="shared" ref="T40" si="46">Q40+S40+S41+S42</f>
        <v>0</v>
      </c>
      <c r="U40" s="9"/>
      <c r="X40">
        <v>0</v>
      </c>
    </row>
    <row r="41" spans="1:24" x14ac:dyDescent="0.4">
      <c r="A41" s="29"/>
      <c r="B41" s="4" t="s">
        <v>4</v>
      </c>
      <c r="C41" s="5"/>
      <c r="D41" s="5"/>
      <c r="E41" s="6"/>
      <c r="F41" s="23"/>
      <c r="G41" s="4" t="s">
        <v>4</v>
      </c>
      <c r="H41" s="2"/>
      <c r="I41" s="23"/>
      <c r="J41" s="9"/>
      <c r="L41" s="29"/>
      <c r="M41" s="4" t="s">
        <v>4</v>
      </c>
      <c r="N41" s="5"/>
      <c r="O41" s="5"/>
      <c r="P41" s="6"/>
      <c r="Q41" s="23"/>
      <c r="R41" s="4" t="s">
        <v>4</v>
      </c>
      <c r="S41" s="2"/>
      <c r="T41" s="23"/>
      <c r="U41" s="9"/>
      <c r="X41">
        <v>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7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8">F43+H43+H44+H45</f>
        <v>0</v>
      </c>
      <c r="J43" s="9"/>
      <c r="L43" s="29">
        <f t="shared" ref="L43" si="49">L40+1</f>
        <v>45838</v>
      </c>
      <c r="M43" s="4" t="s">
        <v>3</v>
      </c>
      <c r="N43" s="5" t="s">
        <v>277</v>
      </c>
      <c r="O43" s="5" t="s">
        <v>51</v>
      </c>
      <c r="P43" s="6"/>
      <c r="Q43" s="23">
        <v>9000</v>
      </c>
      <c r="R43" s="4" t="s">
        <v>3</v>
      </c>
      <c r="S43" s="2">
        <v>3500</v>
      </c>
      <c r="T43" s="23">
        <f t="shared" ref="T43" si="50">Q43+S43+S44+S45</f>
        <v>12500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/>
      <c r="O44" s="5"/>
      <c r="P44" s="6"/>
      <c r="Q44" s="23"/>
      <c r="R44" s="4" t="s">
        <v>4</v>
      </c>
      <c r="S44" s="2"/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51">A43+1</f>
        <v>45823</v>
      </c>
      <c r="B46" s="4" t="s">
        <v>3</v>
      </c>
      <c r="C46" s="5" t="s">
        <v>308</v>
      </c>
      <c r="D46" s="5" t="s">
        <v>51</v>
      </c>
      <c r="E46" s="6"/>
      <c r="F46" s="23">
        <v>9000</v>
      </c>
      <c r="G46" s="4" t="s">
        <v>3</v>
      </c>
      <c r="H46" s="2">
        <v>9800</v>
      </c>
      <c r="I46" s="23">
        <f t="shared" ref="I46" si="52">F46+H46+H47+H48</f>
        <v>18800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3">Q46+S46+S47+S48</f>
        <v>0</v>
      </c>
      <c r="U46" s="9"/>
    </row>
    <row r="47" spans="1:24" x14ac:dyDescent="0.4">
      <c r="A47" s="29"/>
      <c r="B47" s="4" t="s">
        <v>4</v>
      </c>
      <c r="C47" s="5"/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4">A46+1</f>
        <v>45824</v>
      </c>
      <c r="B49" s="4" t="s">
        <v>3</v>
      </c>
      <c r="C49" s="5" t="s">
        <v>267</v>
      </c>
      <c r="D49" s="5" t="s">
        <v>51</v>
      </c>
      <c r="E49" s="6"/>
      <c r="F49" s="23">
        <v>9000</v>
      </c>
      <c r="G49" s="4" t="s">
        <v>3</v>
      </c>
      <c r="H49" s="2">
        <v>14000</v>
      </c>
      <c r="I49" s="23">
        <f t="shared" ref="I49" si="55">F49+H49+H50+H51</f>
        <v>23000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/>
      <c r="D50" s="5"/>
      <c r="E50" s="6"/>
      <c r="F50" s="23"/>
      <c r="G50" s="4" t="s">
        <v>4</v>
      </c>
      <c r="H50" s="2"/>
      <c r="I50" s="23"/>
      <c r="J50" s="9"/>
      <c r="L50" s="27">
        <f>W7</f>
        <v>25</v>
      </c>
      <c r="M50" s="28" t="s">
        <v>12</v>
      </c>
      <c r="N50" s="23">
        <f>MAX((L50-21)*5000,0)</f>
        <v>20000</v>
      </c>
      <c r="O50" s="31">
        <f>SUM(F4:F51,Q4:Q48)</f>
        <v>225000</v>
      </c>
      <c r="P50" s="31"/>
      <c r="Q50" s="31"/>
      <c r="R50" s="31"/>
      <c r="S50" s="23">
        <f>SUM(H4:H51,S4:S48)</f>
        <v>299000</v>
      </c>
      <c r="T50" s="23"/>
      <c r="U50" s="22">
        <f ca="1">IF(U50="","0",U50)</f>
        <v>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29</v>
      </c>
      <c r="I53" s="23"/>
      <c r="J53" s="41">
        <v>45909</v>
      </c>
      <c r="L53" s="56" t="s">
        <v>42</v>
      </c>
      <c r="M53" s="57"/>
      <c r="N53" s="57"/>
      <c r="O53" s="57"/>
      <c r="P53" s="19"/>
      <c r="Q53" s="31">
        <v>0</v>
      </c>
      <c r="R53" s="31"/>
      <c r="S53" s="23">
        <v>30000</v>
      </c>
      <c r="T53" s="23"/>
      <c r="U53" s="39">
        <f>SUM(X37:X42)</f>
        <v>574000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A4:A6"/>
    <mergeCell ref="F4:F6"/>
    <mergeCell ref="I4:I6"/>
    <mergeCell ref="L4:L6"/>
    <mergeCell ref="Q4:Q6"/>
    <mergeCell ref="T4:T6"/>
    <mergeCell ref="A1:J2"/>
    <mergeCell ref="L1:U2"/>
    <mergeCell ref="B3:C3"/>
    <mergeCell ref="G3:H3"/>
    <mergeCell ref="M3:N3"/>
    <mergeCell ref="R3:S3"/>
    <mergeCell ref="A10:A12"/>
    <mergeCell ref="F10:F12"/>
    <mergeCell ref="I10:I12"/>
    <mergeCell ref="L10:L12"/>
    <mergeCell ref="Q10:Q12"/>
    <mergeCell ref="T10:T12"/>
    <mergeCell ref="A7:A9"/>
    <mergeCell ref="F7:F9"/>
    <mergeCell ref="I7:I9"/>
    <mergeCell ref="L7:L9"/>
    <mergeCell ref="Q7:Q9"/>
    <mergeCell ref="T7:T9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46:A48"/>
    <mergeCell ref="F46:F48"/>
    <mergeCell ref="I46:I48"/>
    <mergeCell ref="L46:L48"/>
    <mergeCell ref="Q46:Q48"/>
    <mergeCell ref="T46:T48"/>
    <mergeCell ref="A43:A45"/>
    <mergeCell ref="F43:F45"/>
    <mergeCell ref="I43:I45"/>
    <mergeCell ref="L43:L45"/>
    <mergeCell ref="Q43:Q45"/>
    <mergeCell ref="T43:T45"/>
    <mergeCell ref="A49:A51"/>
    <mergeCell ref="F49:F51"/>
    <mergeCell ref="I49:I51"/>
    <mergeCell ref="L49:M49"/>
    <mergeCell ref="O49:R49"/>
    <mergeCell ref="S49:T49"/>
    <mergeCell ref="L50:L51"/>
    <mergeCell ref="M50:M51"/>
    <mergeCell ref="N50:N51"/>
    <mergeCell ref="O50:R51"/>
    <mergeCell ref="H53:I55"/>
    <mergeCell ref="J53:J55"/>
    <mergeCell ref="L53:O55"/>
    <mergeCell ref="Q53:R54"/>
    <mergeCell ref="S53:T54"/>
    <mergeCell ref="U53:U55"/>
    <mergeCell ref="Q55:R55"/>
    <mergeCell ref="S55:T55"/>
    <mergeCell ref="S50:T51"/>
    <mergeCell ref="U50:U51"/>
    <mergeCell ref="H52:I52"/>
    <mergeCell ref="L52:O52"/>
    <mergeCell ref="Q52:R52"/>
    <mergeCell ref="S52:T52"/>
  </mergeCells>
  <phoneticPr fontId="1"/>
  <dataValidations count="1">
    <dataValidation type="list" allowBlank="1" showInputMessage="1" showErrorMessage="1" sqref="O4:O48 D4:D51" xr:uid="{8D8020D9-0EED-4D6A-8E07-C49FE34724AC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F870-7B1D-4F07-BBB8-3BE771F309D6}">
  <sheetPr>
    <pageSetUpPr fitToPage="1"/>
  </sheetPr>
  <dimension ref="A1:X56"/>
  <sheetViews>
    <sheetView topLeftCell="A27" workbookViewId="0">
      <selection activeCell="T31" sqref="T31:T33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/>
      <c r="O4" s="5"/>
      <c r="P4" s="6"/>
      <c r="Q4" s="23">
        <v>9000</v>
      </c>
      <c r="R4" s="4" t="s">
        <v>3</v>
      </c>
      <c r="S4" s="2"/>
      <c r="T4" s="23">
        <f t="shared" ref="T4" si="0">Q4+S4+S5+S6</f>
        <v>20500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 t="s">
        <v>94</v>
      </c>
      <c r="O5" s="5" t="s">
        <v>51</v>
      </c>
      <c r="P5" s="6"/>
      <c r="Q5" s="23"/>
      <c r="R5" s="4" t="s">
        <v>4</v>
      </c>
      <c r="S5" s="2">
        <v>11500</v>
      </c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/>
      <c r="D7" s="5"/>
      <c r="E7" s="6"/>
      <c r="F7" s="23">
        <v>9000</v>
      </c>
      <c r="G7" s="4" t="s">
        <v>3</v>
      </c>
      <c r="H7" s="2"/>
      <c r="I7" s="23">
        <f t="shared" ref="I7" si="1">F7+H7+H8+H9</f>
        <v>20500</v>
      </c>
      <c r="J7" s="9"/>
      <c r="L7" s="29">
        <f>L4+1</f>
        <v>45826</v>
      </c>
      <c r="M7" s="4" t="s">
        <v>3</v>
      </c>
      <c r="N7" s="5"/>
      <c r="O7" s="5"/>
      <c r="P7" s="6"/>
      <c r="Q7" s="23">
        <v>9000</v>
      </c>
      <c r="R7" s="4" t="s">
        <v>3</v>
      </c>
      <c r="S7" s="2"/>
      <c r="T7" s="23">
        <f t="shared" ref="T7" si="2">Q7+S7+S8+S9</f>
        <v>20500</v>
      </c>
      <c r="U7" s="9"/>
      <c r="W7">
        <f>COUNT(F4:F51,Q4:Q48)</f>
        <v>23</v>
      </c>
    </row>
    <row r="8" spans="1:23" x14ac:dyDescent="0.4">
      <c r="A8" s="29"/>
      <c r="B8" s="4" t="s">
        <v>4</v>
      </c>
      <c r="C8" s="5" t="s">
        <v>94</v>
      </c>
      <c r="D8" s="5" t="s">
        <v>51</v>
      </c>
      <c r="E8" s="6"/>
      <c r="F8" s="23"/>
      <c r="G8" s="4" t="s">
        <v>4</v>
      </c>
      <c r="H8" s="2">
        <v>11500</v>
      </c>
      <c r="I8" s="23"/>
      <c r="J8" s="9"/>
      <c r="L8" s="29"/>
      <c r="M8" s="4" t="s">
        <v>4</v>
      </c>
      <c r="N8" s="5" t="s">
        <v>94</v>
      </c>
      <c r="O8" s="5" t="s">
        <v>51</v>
      </c>
      <c r="P8" s="6"/>
      <c r="Q8" s="23"/>
      <c r="R8" s="4" t="s">
        <v>4</v>
      </c>
      <c r="S8" s="2">
        <v>11500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3">A7+1</f>
        <v>45811</v>
      </c>
      <c r="B10" s="4" t="s">
        <v>3</v>
      </c>
      <c r="C10" s="5"/>
      <c r="D10" s="5"/>
      <c r="E10" s="6"/>
      <c r="F10" s="23">
        <v>9000</v>
      </c>
      <c r="G10" s="4" t="s">
        <v>3</v>
      </c>
      <c r="H10" s="2"/>
      <c r="I10" s="23">
        <f t="shared" ref="I10" si="4">F10+H10+H11+H12</f>
        <v>20500</v>
      </c>
      <c r="J10" s="9"/>
      <c r="L10" s="29">
        <f t="shared" ref="L10" si="5">L7+1</f>
        <v>45827</v>
      </c>
      <c r="M10" s="4" t="s">
        <v>3</v>
      </c>
      <c r="N10" s="5"/>
      <c r="O10" s="5"/>
      <c r="P10" s="6"/>
      <c r="Q10" s="23">
        <v>9000</v>
      </c>
      <c r="R10" s="4" t="s">
        <v>3</v>
      </c>
      <c r="S10" s="2"/>
      <c r="T10" s="23">
        <f t="shared" ref="T10" si="6">Q10+S10+S11+S12</f>
        <v>20500</v>
      </c>
      <c r="U10" s="9"/>
    </row>
    <row r="11" spans="1:23" x14ac:dyDescent="0.4">
      <c r="A11" s="29"/>
      <c r="B11" s="4" t="s">
        <v>4</v>
      </c>
      <c r="C11" s="5" t="s">
        <v>94</v>
      </c>
      <c r="D11" s="5" t="s">
        <v>51</v>
      </c>
      <c r="E11" s="6"/>
      <c r="F11" s="23"/>
      <c r="G11" s="4" t="s">
        <v>4</v>
      </c>
      <c r="H11" s="2">
        <v>11500</v>
      </c>
      <c r="I11" s="23"/>
      <c r="J11" s="9"/>
      <c r="L11" s="29"/>
      <c r="M11" s="4" t="s">
        <v>4</v>
      </c>
      <c r="N11" s="5" t="s">
        <v>94</v>
      </c>
      <c r="O11" s="5" t="s">
        <v>51</v>
      </c>
      <c r="P11" s="6"/>
      <c r="Q11" s="23"/>
      <c r="R11" s="4" t="s">
        <v>4</v>
      </c>
      <c r="S11" s="2">
        <v>11500</v>
      </c>
      <c r="T11" s="23"/>
      <c r="U11" s="9"/>
    </row>
    <row r="12" spans="1:23" x14ac:dyDescent="0.4">
      <c r="A12" s="29"/>
      <c r="B12" s="4" t="s">
        <v>5</v>
      </c>
      <c r="C12" s="5"/>
      <c r="D12" s="5"/>
      <c r="E12" s="6"/>
      <c r="F12" s="23"/>
      <c r="G12" s="4" t="s">
        <v>5</v>
      </c>
      <c r="H12" s="2"/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7">A10+1</f>
        <v>45812</v>
      </c>
      <c r="B13" s="4" t="s">
        <v>3</v>
      </c>
      <c r="C13" s="5"/>
      <c r="D13" s="5"/>
      <c r="E13" s="6"/>
      <c r="F13" s="23">
        <v>9000</v>
      </c>
      <c r="G13" s="4" t="s">
        <v>3</v>
      </c>
      <c r="H13" s="2"/>
      <c r="I13" s="23">
        <f t="shared" ref="I13" si="8">F13+H13+H14+H15</f>
        <v>20500</v>
      </c>
      <c r="J13" s="9"/>
      <c r="L13" s="29">
        <f t="shared" ref="L13" si="9">L10+1</f>
        <v>45828</v>
      </c>
      <c r="M13" s="4" t="s">
        <v>3</v>
      </c>
      <c r="N13" s="5"/>
      <c r="O13" s="5"/>
      <c r="P13" s="6"/>
      <c r="Q13" s="23">
        <v>9000</v>
      </c>
      <c r="R13" s="4" t="s">
        <v>3</v>
      </c>
      <c r="S13" s="2"/>
      <c r="T13" s="23">
        <f t="shared" ref="T13" si="10">Q13+S13+S14+S15</f>
        <v>20500</v>
      </c>
      <c r="U13" s="9"/>
    </row>
    <row r="14" spans="1:23" x14ac:dyDescent="0.4">
      <c r="A14" s="29"/>
      <c r="B14" s="4" t="s">
        <v>4</v>
      </c>
      <c r="C14" s="5" t="s">
        <v>94</v>
      </c>
      <c r="D14" s="5" t="s">
        <v>51</v>
      </c>
      <c r="E14" s="6"/>
      <c r="F14" s="23"/>
      <c r="G14" s="4" t="s">
        <v>4</v>
      </c>
      <c r="H14" s="2">
        <v>11500</v>
      </c>
      <c r="I14" s="23"/>
      <c r="J14" s="9"/>
      <c r="L14" s="29"/>
      <c r="M14" s="4" t="s">
        <v>4</v>
      </c>
      <c r="N14" s="5" t="s">
        <v>94</v>
      </c>
      <c r="O14" s="5" t="s">
        <v>51</v>
      </c>
      <c r="P14" s="6"/>
      <c r="Q14" s="23"/>
      <c r="R14" s="4" t="s">
        <v>4</v>
      </c>
      <c r="S14" s="2">
        <v>11500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/>
      <c r="O15" s="5"/>
      <c r="P15" s="6"/>
      <c r="Q15" s="23"/>
      <c r="R15" s="4" t="s">
        <v>5</v>
      </c>
      <c r="S15" s="2"/>
      <c r="T15" s="23"/>
      <c r="U15" s="9"/>
    </row>
    <row r="16" spans="1:23" x14ac:dyDescent="0.4">
      <c r="A16" s="29">
        <f t="shared" ref="A16" si="11">A13+1</f>
        <v>45813</v>
      </c>
      <c r="B16" s="4" t="s">
        <v>3</v>
      </c>
      <c r="C16" s="5"/>
      <c r="D16" s="5"/>
      <c r="E16" s="6"/>
      <c r="F16" s="23">
        <v>9000</v>
      </c>
      <c r="G16" s="4" t="s">
        <v>3</v>
      </c>
      <c r="H16" s="2"/>
      <c r="I16" s="23">
        <f t="shared" ref="I16" si="12">F16+H16+H17+H18</f>
        <v>20500</v>
      </c>
      <c r="J16" s="9"/>
      <c r="L16" s="29">
        <f t="shared" ref="L16" si="13">L13+1</f>
        <v>45829</v>
      </c>
      <c r="M16" s="4" t="s">
        <v>3</v>
      </c>
      <c r="N16" s="5" t="s">
        <v>192</v>
      </c>
      <c r="O16" s="5" t="s">
        <v>51</v>
      </c>
      <c r="P16" s="6"/>
      <c r="Q16" s="23">
        <v>9000</v>
      </c>
      <c r="R16" s="4" t="s">
        <v>3</v>
      </c>
      <c r="S16" s="2">
        <v>3000</v>
      </c>
      <c r="T16" s="23">
        <f t="shared" ref="T16" si="14">Q16+S16+S17+S18</f>
        <v>21000</v>
      </c>
      <c r="U16" s="9"/>
    </row>
    <row r="17" spans="1:21" x14ac:dyDescent="0.4">
      <c r="A17" s="29"/>
      <c r="B17" s="4" t="s">
        <v>4</v>
      </c>
      <c r="C17" s="5" t="s">
        <v>94</v>
      </c>
      <c r="D17" s="5" t="s">
        <v>51</v>
      </c>
      <c r="E17" s="6"/>
      <c r="F17" s="23"/>
      <c r="G17" s="4" t="s">
        <v>4</v>
      </c>
      <c r="H17" s="2">
        <v>11500</v>
      </c>
      <c r="I17" s="23"/>
      <c r="J17" s="9"/>
      <c r="L17" s="29"/>
      <c r="M17" s="4" t="s">
        <v>4</v>
      </c>
      <c r="N17" s="5" t="s">
        <v>95</v>
      </c>
      <c r="O17" s="5" t="s">
        <v>19</v>
      </c>
      <c r="P17" s="6"/>
      <c r="Q17" s="23"/>
      <c r="R17" s="4" t="s">
        <v>4</v>
      </c>
      <c r="S17" s="2">
        <v>9000</v>
      </c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5">A16+1</f>
        <v>45814</v>
      </c>
      <c r="B19" s="4" t="s">
        <v>3</v>
      </c>
      <c r="C19" s="5"/>
      <c r="D19" s="5"/>
      <c r="E19" s="6"/>
      <c r="F19" s="23">
        <v>9000</v>
      </c>
      <c r="G19" s="4" t="s">
        <v>3</v>
      </c>
      <c r="H19" s="2"/>
      <c r="I19" s="23">
        <f t="shared" ref="I19" si="16">F19+H19+H20+H21</f>
        <v>20500</v>
      </c>
      <c r="J19" s="9"/>
      <c r="L19" s="29">
        <f t="shared" ref="L19" si="17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8">Q19+S19+S20+S21</f>
        <v>0</v>
      </c>
      <c r="U19" s="9"/>
    </row>
    <row r="20" spans="1:21" x14ac:dyDescent="0.4">
      <c r="A20" s="29"/>
      <c r="B20" s="4" t="s">
        <v>4</v>
      </c>
      <c r="C20" s="5" t="s">
        <v>94</v>
      </c>
      <c r="D20" s="5" t="s">
        <v>51</v>
      </c>
      <c r="E20" s="6"/>
      <c r="F20" s="23"/>
      <c r="G20" s="4" t="s">
        <v>4</v>
      </c>
      <c r="H20" s="2">
        <v>11500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9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20">F22+H22+H23+H24</f>
        <v>0</v>
      </c>
      <c r="J22" s="9"/>
      <c r="L22" s="29">
        <f t="shared" ref="L22" si="21">L19+1</f>
        <v>45831</v>
      </c>
      <c r="M22" s="4" t="s">
        <v>3</v>
      </c>
      <c r="N22" s="5"/>
      <c r="O22" s="5"/>
      <c r="P22" s="6"/>
      <c r="Q22" s="23">
        <v>9000</v>
      </c>
      <c r="R22" s="4" t="s">
        <v>3</v>
      </c>
      <c r="S22" s="2"/>
      <c r="T22" s="23">
        <f t="shared" ref="T22" si="22">Q22+S22+S23+S24</f>
        <v>20500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94</v>
      </c>
      <c r="O23" s="5" t="s">
        <v>51</v>
      </c>
      <c r="P23" s="6"/>
      <c r="Q23" s="23"/>
      <c r="R23" s="4" t="s">
        <v>4</v>
      </c>
      <c r="S23" s="2">
        <v>11500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3">A22+1</f>
        <v>45816</v>
      </c>
      <c r="B25" s="4" t="s">
        <v>3</v>
      </c>
      <c r="C25" s="5"/>
      <c r="D25" s="5"/>
      <c r="E25" s="6"/>
      <c r="F25" s="23"/>
      <c r="G25" s="4" t="s">
        <v>3</v>
      </c>
      <c r="H25" s="2"/>
      <c r="I25" s="23">
        <f t="shared" ref="I25" si="24">F25+H25+H26+H27</f>
        <v>0</v>
      </c>
      <c r="J25" s="9"/>
      <c r="L25" s="29">
        <f t="shared" ref="L25" si="25">L22+1</f>
        <v>45832</v>
      </c>
      <c r="M25" s="4" t="s">
        <v>3</v>
      </c>
      <c r="N25" s="5"/>
      <c r="O25" s="5"/>
      <c r="P25" s="6"/>
      <c r="Q25" s="23">
        <v>9000</v>
      </c>
      <c r="R25" s="4" t="s">
        <v>3</v>
      </c>
      <c r="S25" s="2"/>
      <c r="T25" s="23">
        <f t="shared" ref="T25" si="26">Q25+S25+S26+S27</f>
        <v>20500</v>
      </c>
      <c r="U25" s="9"/>
    </row>
    <row r="26" spans="1:21" x14ac:dyDescent="0.4">
      <c r="A26" s="29"/>
      <c r="B26" s="4" t="s">
        <v>4</v>
      </c>
      <c r="C26" s="5" t="s">
        <v>48</v>
      </c>
      <c r="D26" s="5"/>
      <c r="E26" s="6"/>
      <c r="F26" s="23"/>
      <c r="G26" s="4" t="s">
        <v>4</v>
      </c>
      <c r="H26" s="2"/>
      <c r="I26" s="23"/>
      <c r="J26" s="9"/>
      <c r="L26" s="29"/>
      <c r="M26" s="4" t="s">
        <v>4</v>
      </c>
      <c r="N26" s="5" t="s">
        <v>94</v>
      </c>
      <c r="O26" s="5" t="s">
        <v>51</v>
      </c>
      <c r="P26" s="6"/>
      <c r="Q26" s="23"/>
      <c r="R26" s="4" t="s">
        <v>4</v>
      </c>
      <c r="S26" s="2">
        <v>11500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23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7">A25+1</f>
        <v>45817</v>
      </c>
      <c r="B28" s="4" t="s">
        <v>3</v>
      </c>
      <c r="C28" s="5"/>
      <c r="D28" s="5"/>
      <c r="E28" s="6"/>
      <c r="F28" s="23">
        <v>9000</v>
      </c>
      <c r="G28" s="4" t="s">
        <v>3</v>
      </c>
      <c r="H28" s="2"/>
      <c r="I28" s="23">
        <f t="shared" ref="I28" si="28">F28+H28+H29+H30</f>
        <v>20500</v>
      </c>
      <c r="J28" s="9"/>
      <c r="L28" s="29">
        <f t="shared" ref="L28" si="29">L25+1</f>
        <v>45833</v>
      </c>
      <c r="M28" s="4" t="s">
        <v>3</v>
      </c>
      <c r="N28" s="5"/>
      <c r="O28" s="5"/>
      <c r="P28" s="6"/>
      <c r="Q28" s="23">
        <v>9000</v>
      </c>
      <c r="R28" s="4" t="s">
        <v>3</v>
      </c>
      <c r="S28" s="2"/>
      <c r="T28" s="23">
        <f t="shared" ref="T28" si="30">Q28+S28+S29+S30</f>
        <v>20500</v>
      </c>
      <c r="U28" s="9"/>
    </row>
    <row r="29" spans="1:21" x14ac:dyDescent="0.4">
      <c r="A29" s="29"/>
      <c r="B29" s="4" t="s">
        <v>4</v>
      </c>
      <c r="C29" s="5" t="s">
        <v>94</v>
      </c>
      <c r="D29" s="5" t="s">
        <v>51</v>
      </c>
      <c r="E29" s="6"/>
      <c r="F29" s="23"/>
      <c r="G29" s="4" t="s">
        <v>4</v>
      </c>
      <c r="H29" s="2">
        <v>11500</v>
      </c>
      <c r="I29" s="23"/>
      <c r="J29" s="9"/>
      <c r="L29" s="29"/>
      <c r="M29" s="4" t="s">
        <v>4</v>
      </c>
      <c r="N29" s="5" t="s">
        <v>94</v>
      </c>
      <c r="O29" s="5" t="s">
        <v>51</v>
      </c>
      <c r="P29" s="6"/>
      <c r="Q29" s="23"/>
      <c r="R29" s="4" t="s">
        <v>4</v>
      </c>
      <c r="S29" s="2">
        <v>11500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1">A28+1</f>
        <v>45818</v>
      </c>
      <c r="B31" s="4" t="s">
        <v>3</v>
      </c>
      <c r="C31" s="5"/>
      <c r="D31" s="5"/>
      <c r="E31" s="6"/>
      <c r="F31" s="23">
        <v>9000</v>
      </c>
      <c r="G31" s="4" t="s">
        <v>3</v>
      </c>
      <c r="H31" s="2"/>
      <c r="I31" s="23">
        <f t="shared" ref="I31" si="32">F31+H31+H32+H33</f>
        <v>20500</v>
      </c>
      <c r="J31" s="9"/>
      <c r="L31" s="29">
        <f t="shared" ref="L31" si="33">L28+1</f>
        <v>45834</v>
      </c>
      <c r="M31" s="4" t="s">
        <v>3</v>
      </c>
      <c r="N31" s="5"/>
      <c r="O31" s="5"/>
      <c r="P31" s="6"/>
      <c r="Q31" s="23">
        <v>9000</v>
      </c>
      <c r="R31" s="4" t="s">
        <v>3</v>
      </c>
      <c r="S31" s="2"/>
      <c r="T31" s="23">
        <f t="shared" ref="T31" si="34">Q31+S31+S32+S33</f>
        <v>20500</v>
      </c>
      <c r="U31" s="9"/>
    </row>
    <row r="32" spans="1:21" x14ac:dyDescent="0.4">
      <c r="A32" s="29"/>
      <c r="B32" s="4" t="s">
        <v>4</v>
      </c>
      <c r="C32" s="5" t="s">
        <v>94</v>
      </c>
      <c r="D32" s="5" t="s">
        <v>51</v>
      </c>
      <c r="E32" s="6"/>
      <c r="F32" s="23"/>
      <c r="G32" s="4" t="s">
        <v>4</v>
      </c>
      <c r="H32" s="2">
        <v>11500</v>
      </c>
      <c r="I32" s="23"/>
      <c r="J32" s="9"/>
      <c r="L32" s="29"/>
      <c r="M32" s="4" t="s">
        <v>4</v>
      </c>
      <c r="N32" s="5" t="s">
        <v>94</v>
      </c>
      <c r="O32" s="5" t="s">
        <v>51</v>
      </c>
      <c r="P32" s="6"/>
      <c r="Q32" s="23"/>
      <c r="R32" s="4" t="s">
        <v>4</v>
      </c>
      <c r="S32" s="2">
        <v>11500</v>
      </c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5">A31+1</f>
        <v>45819</v>
      </c>
      <c r="B34" s="4" t="s">
        <v>3</v>
      </c>
      <c r="C34" s="5"/>
      <c r="D34" s="5"/>
      <c r="E34" s="6"/>
      <c r="F34" s="23">
        <v>9000</v>
      </c>
      <c r="G34" s="4" t="s">
        <v>3</v>
      </c>
      <c r="H34" s="2"/>
      <c r="I34" s="23">
        <f t="shared" ref="I34" si="36">F34+H34+H35+H36</f>
        <v>20500</v>
      </c>
      <c r="J34" s="9"/>
      <c r="L34" s="29">
        <f t="shared" ref="L34" si="37">L31+1</f>
        <v>45835</v>
      </c>
      <c r="M34" s="4" t="s">
        <v>3</v>
      </c>
      <c r="N34" s="5"/>
      <c r="O34" s="5"/>
      <c r="P34" s="6"/>
      <c r="Q34" s="23">
        <v>9000</v>
      </c>
      <c r="R34" s="4" t="s">
        <v>3</v>
      </c>
      <c r="S34" s="2"/>
      <c r="T34" s="23">
        <f t="shared" ref="T34" si="38">Q34+S34+S35+S36</f>
        <v>20500</v>
      </c>
      <c r="U34" s="9"/>
    </row>
    <row r="35" spans="1:24" x14ac:dyDescent="0.4">
      <c r="A35" s="29"/>
      <c r="B35" s="4" t="s">
        <v>4</v>
      </c>
      <c r="C35" s="5" t="s">
        <v>94</v>
      </c>
      <c r="D35" s="5" t="s">
        <v>51</v>
      </c>
      <c r="E35" s="6"/>
      <c r="F35" s="23"/>
      <c r="G35" s="4" t="s">
        <v>4</v>
      </c>
      <c r="H35" s="2">
        <v>11500</v>
      </c>
      <c r="I35" s="23"/>
      <c r="J35" s="9"/>
      <c r="L35" s="29"/>
      <c r="M35" s="4" t="s">
        <v>4</v>
      </c>
      <c r="N35" s="5" t="s">
        <v>94</v>
      </c>
      <c r="O35" s="5" t="s">
        <v>51</v>
      </c>
      <c r="P35" s="6"/>
      <c r="Q35" s="23"/>
      <c r="R35" s="4" t="s">
        <v>4</v>
      </c>
      <c r="S35" s="2">
        <v>11500</v>
      </c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9">A34+1</f>
        <v>45820</v>
      </c>
      <c r="B37" s="4" t="s">
        <v>3</v>
      </c>
      <c r="C37" s="5"/>
      <c r="D37" s="5"/>
      <c r="E37" s="6"/>
      <c r="F37" s="23">
        <v>9000</v>
      </c>
      <c r="G37" s="4" t="s">
        <v>3</v>
      </c>
      <c r="H37" s="2"/>
      <c r="I37" s="23">
        <f t="shared" ref="I37" si="40">F37+H37+H38+H39</f>
        <v>20500</v>
      </c>
      <c r="J37" s="9"/>
      <c r="L37" s="29">
        <f t="shared" ref="L37" si="41">L34+1</f>
        <v>45836</v>
      </c>
      <c r="M37" s="4" t="s">
        <v>3</v>
      </c>
      <c r="N37" s="5"/>
      <c r="O37" s="5"/>
      <c r="P37" s="6"/>
      <c r="Q37" s="23">
        <v>9000</v>
      </c>
      <c r="R37" s="4" t="s">
        <v>3</v>
      </c>
      <c r="S37" s="2"/>
      <c r="T37" s="23">
        <f t="shared" ref="T37" si="42">Q37+S37+S38+S39</f>
        <v>18000</v>
      </c>
      <c r="U37" s="9"/>
      <c r="X37">
        <f>N50</f>
        <v>10000</v>
      </c>
    </row>
    <row r="38" spans="1:24" x14ac:dyDescent="0.4">
      <c r="A38" s="29"/>
      <c r="B38" s="4" t="s">
        <v>4</v>
      </c>
      <c r="C38" s="5" t="s">
        <v>94</v>
      </c>
      <c r="D38" s="5" t="s">
        <v>51</v>
      </c>
      <c r="E38" s="6"/>
      <c r="F38" s="23"/>
      <c r="G38" s="4" t="s">
        <v>4</v>
      </c>
      <c r="H38" s="2">
        <v>11500</v>
      </c>
      <c r="I38" s="23"/>
      <c r="J38" s="9"/>
      <c r="L38" s="29"/>
      <c r="M38" s="4" t="s">
        <v>4</v>
      </c>
      <c r="N38" s="5" t="s">
        <v>95</v>
      </c>
      <c r="O38" s="5" t="s">
        <v>19</v>
      </c>
      <c r="P38" s="6"/>
      <c r="Q38" s="23"/>
      <c r="R38" s="4" t="s">
        <v>4</v>
      </c>
      <c r="S38" s="2">
        <v>9000</v>
      </c>
      <c r="T38" s="23"/>
      <c r="U38" s="9"/>
      <c r="X38">
        <f>O50</f>
        <v>207000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262500</v>
      </c>
    </row>
    <row r="40" spans="1:24" x14ac:dyDescent="0.4">
      <c r="A40" s="29">
        <f t="shared" ref="A40" si="43">A37+1</f>
        <v>45821</v>
      </c>
      <c r="B40" s="4" t="s">
        <v>3</v>
      </c>
      <c r="C40" s="5"/>
      <c r="D40" s="5"/>
      <c r="E40" s="6"/>
      <c r="F40" s="23">
        <v>9000</v>
      </c>
      <c r="G40" s="4" t="s">
        <v>3</v>
      </c>
      <c r="H40" s="2"/>
      <c r="I40" s="23">
        <f t="shared" ref="I40" si="44">F40+H40+H41+H42</f>
        <v>20500</v>
      </c>
      <c r="J40" s="9"/>
      <c r="L40" s="29">
        <f t="shared" ref="L40" si="45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6">Q40+S40+S41+S42</f>
        <v>0</v>
      </c>
      <c r="U40" s="9"/>
      <c r="X40">
        <f>U50</f>
        <v>0</v>
      </c>
    </row>
    <row r="41" spans="1:24" x14ac:dyDescent="0.4">
      <c r="A41" s="29"/>
      <c r="B41" s="4" t="s">
        <v>4</v>
      </c>
      <c r="C41" s="5" t="s">
        <v>94</v>
      </c>
      <c r="D41" s="5" t="s">
        <v>51</v>
      </c>
      <c r="E41" s="6"/>
      <c r="F41" s="23"/>
      <c r="G41" s="4" t="s">
        <v>4</v>
      </c>
      <c r="H41" s="2">
        <v>11500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15000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30000</v>
      </c>
    </row>
    <row r="43" spans="1:24" x14ac:dyDescent="0.4">
      <c r="A43" s="29">
        <f t="shared" ref="A43" si="47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8">F43+H43+H44+H45</f>
        <v>0</v>
      </c>
      <c r="J43" s="9"/>
      <c r="L43" s="29">
        <f t="shared" ref="L43" si="49">L40+1</f>
        <v>45838</v>
      </c>
      <c r="M43" s="4" t="s">
        <v>3</v>
      </c>
      <c r="N43" s="5"/>
      <c r="O43" s="5"/>
      <c r="P43" s="6"/>
      <c r="Q43" s="23">
        <v>9000</v>
      </c>
      <c r="R43" s="4" t="s">
        <v>3</v>
      </c>
      <c r="S43" s="2"/>
      <c r="T43" s="23">
        <f t="shared" ref="T43" si="50">Q43+S43+S44+S45</f>
        <v>20500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94</v>
      </c>
      <c r="O44" s="5" t="s">
        <v>51</v>
      </c>
      <c r="P44" s="6"/>
      <c r="Q44" s="23"/>
      <c r="R44" s="4" t="s">
        <v>4</v>
      </c>
      <c r="S44" s="2">
        <v>11500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51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2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3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4">A46+1</f>
        <v>45824</v>
      </c>
      <c r="B49" s="4" t="s">
        <v>3</v>
      </c>
      <c r="C49" s="5"/>
      <c r="D49" s="5"/>
      <c r="E49" s="6"/>
      <c r="F49" s="23">
        <v>9000</v>
      </c>
      <c r="G49" s="4" t="s">
        <v>3</v>
      </c>
      <c r="H49" s="2"/>
      <c r="I49" s="23">
        <f t="shared" ref="I49" si="55">F49+H49+H50+H51</f>
        <v>20500</v>
      </c>
      <c r="J49" s="9"/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94</v>
      </c>
      <c r="D50" s="5" t="s">
        <v>51</v>
      </c>
      <c r="E50" s="6"/>
      <c r="F50" s="23"/>
      <c r="G50" s="4" t="s">
        <v>4</v>
      </c>
      <c r="H50" s="2">
        <v>11500</v>
      </c>
      <c r="I50" s="23"/>
      <c r="J50" s="9"/>
      <c r="L50" s="27">
        <f>W7</f>
        <v>23</v>
      </c>
      <c r="M50" s="28" t="s">
        <v>12</v>
      </c>
      <c r="N50" s="23">
        <f>MAX((L50-21)*5000,0)</f>
        <v>10000</v>
      </c>
      <c r="O50" s="31">
        <f>SUM(F4:F51,Q4:Q48)</f>
        <v>207000</v>
      </c>
      <c r="P50" s="31"/>
      <c r="Q50" s="31"/>
      <c r="R50" s="31"/>
      <c r="S50" s="23">
        <f>SUM(H4:H51,S4:S48)</f>
        <v>262500</v>
      </c>
      <c r="T50" s="23"/>
      <c r="U50" s="22">
        <v>0</v>
      </c>
    </row>
    <row r="51" spans="1:21" ht="19.5" customHeight="1" thickBot="1" x14ac:dyDescent="0.45">
      <c r="A51" s="30"/>
      <c r="B51" s="15" t="s">
        <v>5</v>
      </c>
      <c r="C51" s="16"/>
      <c r="D51" s="16"/>
      <c r="E51" s="12"/>
      <c r="F51" s="24"/>
      <c r="G51" s="15" t="s">
        <v>5</v>
      </c>
      <c r="H51" s="11"/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29</v>
      </c>
      <c r="I53" s="23"/>
      <c r="J53" s="41">
        <v>45950</v>
      </c>
      <c r="L53" s="56" t="s">
        <v>43</v>
      </c>
      <c r="M53" s="57"/>
      <c r="N53" s="57"/>
      <c r="O53" s="57"/>
      <c r="P53" s="19"/>
      <c r="Q53" s="31">
        <v>15000</v>
      </c>
      <c r="R53" s="31"/>
      <c r="S53" s="23">
        <v>30000</v>
      </c>
      <c r="T53" s="23"/>
      <c r="U53" s="39">
        <f>SUM(X37:X42)</f>
        <v>524500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A4:A6"/>
    <mergeCell ref="F4:F6"/>
    <mergeCell ref="I4:I6"/>
    <mergeCell ref="L4:L6"/>
    <mergeCell ref="Q4:Q6"/>
    <mergeCell ref="T4:T6"/>
    <mergeCell ref="A1:J2"/>
    <mergeCell ref="L1:U2"/>
    <mergeCell ref="B3:C3"/>
    <mergeCell ref="G3:H3"/>
    <mergeCell ref="M3:N3"/>
    <mergeCell ref="R3:S3"/>
    <mergeCell ref="A10:A12"/>
    <mergeCell ref="F10:F12"/>
    <mergeCell ref="I10:I12"/>
    <mergeCell ref="L10:L12"/>
    <mergeCell ref="Q10:Q12"/>
    <mergeCell ref="T10:T12"/>
    <mergeCell ref="A7:A9"/>
    <mergeCell ref="F7:F9"/>
    <mergeCell ref="I7:I9"/>
    <mergeCell ref="L7:L9"/>
    <mergeCell ref="Q7:Q9"/>
    <mergeCell ref="T7:T9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46:A48"/>
    <mergeCell ref="F46:F48"/>
    <mergeCell ref="I46:I48"/>
    <mergeCell ref="L46:L48"/>
    <mergeCell ref="Q46:Q48"/>
    <mergeCell ref="T46:T48"/>
    <mergeCell ref="A43:A45"/>
    <mergeCell ref="F43:F45"/>
    <mergeCell ref="I43:I45"/>
    <mergeCell ref="L43:L45"/>
    <mergeCell ref="Q43:Q45"/>
    <mergeCell ref="T43:T45"/>
    <mergeCell ref="A49:A51"/>
    <mergeCell ref="F49:F51"/>
    <mergeCell ref="I49:I51"/>
    <mergeCell ref="L49:M49"/>
    <mergeCell ref="O49:R49"/>
    <mergeCell ref="S49:T49"/>
    <mergeCell ref="L50:L51"/>
    <mergeCell ref="M50:M51"/>
    <mergeCell ref="N50:N51"/>
    <mergeCell ref="O50:R51"/>
    <mergeCell ref="H53:I55"/>
    <mergeCell ref="J53:J55"/>
    <mergeCell ref="L53:O55"/>
    <mergeCell ref="Q53:R54"/>
    <mergeCell ref="S53:T54"/>
    <mergeCell ref="U53:U55"/>
    <mergeCell ref="Q55:R55"/>
    <mergeCell ref="S55:T55"/>
    <mergeCell ref="S50:T51"/>
    <mergeCell ref="U50:U51"/>
    <mergeCell ref="H52:I52"/>
    <mergeCell ref="L52:O52"/>
    <mergeCell ref="Q52:R52"/>
    <mergeCell ref="S52:T52"/>
  </mergeCells>
  <phoneticPr fontId="1"/>
  <dataValidations count="1">
    <dataValidation type="list" allowBlank="1" showInputMessage="1" showErrorMessage="1" sqref="D4:D51 O4:O48" xr:uid="{4F2D1BED-8914-45F7-BD51-019192B28910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61DF-A123-430F-ACA0-55C3028B8EED}">
  <sheetPr>
    <pageSetUpPr fitToPage="1"/>
  </sheetPr>
  <dimension ref="A1:X56"/>
  <sheetViews>
    <sheetView topLeftCell="A33" workbookViewId="0">
      <selection activeCell="N58" sqref="N58"/>
    </sheetView>
  </sheetViews>
  <sheetFormatPr defaultRowHeight="18.75" x14ac:dyDescent="0.4"/>
  <cols>
    <col min="1" max="1" width="9.875" customWidth="1"/>
    <col min="2" max="2" width="3.375" customWidth="1"/>
    <col min="3" max="3" width="25.625" customWidth="1"/>
    <col min="4" max="4" width="7.625" customWidth="1"/>
    <col min="5" max="5" width="0.5" customWidth="1"/>
    <col min="6" max="6" width="10.625" customWidth="1"/>
    <col min="7" max="7" width="3.375" customWidth="1"/>
    <col min="8" max="8" width="9.125" customWidth="1"/>
    <col min="9" max="9" width="10.625" customWidth="1"/>
    <col min="10" max="10" width="16.625" customWidth="1"/>
    <col min="11" max="11" width="2.25" customWidth="1"/>
    <col min="12" max="12" width="9.875" customWidth="1"/>
    <col min="13" max="13" width="3.375" customWidth="1"/>
    <col min="14" max="14" width="25.625" customWidth="1"/>
    <col min="15" max="15" width="7.625" customWidth="1"/>
    <col min="16" max="16" width="0.5" customWidth="1"/>
    <col min="17" max="17" width="10.625" customWidth="1"/>
    <col min="18" max="18" width="3.375" customWidth="1"/>
    <col min="19" max="19" width="9.125" customWidth="1"/>
    <col min="20" max="20" width="10.625" customWidth="1"/>
    <col min="21" max="21" width="16.625" customWidth="1"/>
  </cols>
  <sheetData>
    <row r="1" spans="1:23" ht="18.75" customHeight="1" thickTop="1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  <c r="K1" s="18"/>
      <c r="L1" s="33" t="s">
        <v>0</v>
      </c>
      <c r="M1" s="34"/>
      <c r="N1" s="34"/>
      <c r="O1" s="34"/>
      <c r="P1" s="34"/>
      <c r="Q1" s="34"/>
      <c r="R1" s="34"/>
      <c r="S1" s="34"/>
      <c r="T1" s="34"/>
      <c r="U1" s="35"/>
    </row>
    <row r="2" spans="1:23" ht="18.75" customHeight="1" x14ac:dyDescent="0.4">
      <c r="A2" s="36"/>
      <c r="B2" s="37"/>
      <c r="C2" s="37"/>
      <c r="D2" s="37"/>
      <c r="E2" s="37"/>
      <c r="F2" s="37"/>
      <c r="G2" s="37"/>
      <c r="H2" s="37"/>
      <c r="I2" s="37"/>
      <c r="J2" s="38"/>
      <c r="K2" s="18"/>
      <c r="L2" s="36"/>
      <c r="M2" s="37"/>
      <c r="N2" s="37"/>
      <c r="O2" s="37"/>
      <c r="P2" s="37"/>
      <c r="Q2" s="37"/>
      <c r="R2" s="37"/>
      <c r="S2" s="37"/>
      <c r="T2" s="37"/>
      <c r="U2" s="38"/>
      <c r="W2" t="s">
        <v>19</v>
      </c>
    </row>
    <row r="3" spans="1:23" ht="27" customHeight="1" x14ac:dyDescent="0.4">
      <c r="A3" s="7" t="s">
        <v>1</v>
      </c>
      <c r="B3" s="23" t="s">
        <v>2</v>
      </c>
      <c r="C3" s="23"/>
      <c r="D3" s="2" t="s">
        <v>10</v>
      </c>
      <c r="E3" s="6"/>
      <c r="F3" s="3" t="s">
        <v>7</v>
      </c>
      <c r="G3" s="32" t="s">
        <v>8</v>
      </c>
      <c r="H3" s="32"/>
      <c r="I3" s="3" t="s">
        <v>9</v>
      </c>
      <c r="J3" s="8" t="s">
        <v>6</v>
      </c>
      <c r="K3" s="1"/>
      <c r="L3" s="7" t="s">
        <v>1</v>
      </c>
      <c r="M3" s="23" t="s">
        <v>2</v>
      </c>
      <c r="N3" s="23"/>
      <c r="O3" s="2" t="s">
        <v>10</v>
      </c>
      <c r="P3" s="6"/>
      <c r="Q3" s="3" t="s">
        <v>7</v>
      </c>
      <c r="R3" s="32" t="s">
        <v>8</v>
      </c>
      <c r="S3" s="32"/>
      <c r="T3" s="3" t="s">
        <v>9</v>
      </c>
      <c r="U3" s="8" t="s">
        <v>6</v>
      </c>
      <c r="W3" s="1" t="s">
        <v>13</v>
      </c>
    </row>
    <row r="4" spans="1:23" x14ac:dyDescent="0.4">
      <c r="A4" s="29">
        <v>45809</v>
      </c>
      <c r="B4" s="4" t="s">
        <v>3</v>
      </c>
      <c r="C4" s="5"/>
      <c r="D4" s="5"/>
      <c r="E4" s="6"/>
      <c r="F4" s="23"/>
      <c r="G4" s="4" t="s">
        <v>3</v>
      </c>
      <c r="H4" s="2"/>
      <c r="I4" s="23">
        <f>F4+H4+H5+H6</f>
        <v>0</v>
      </c>
      <c r="J4" s="9"/>
      <c r="L4" s="29">
        <f>A49+1</f>
        <v>45825</v>
      </c>
      <c r="M4" s="4" t="s">
        <v>3</v>
      </c>
      <c r="N4" s="5" t="s">
        <v>284</v>
      </c>
      <c r="O4" s="5" t="s">
        <v>51</v>
      </c>
      <c r="P4" s="6"/>
      <c r="Q4" s="23">
        <v>9000</v>
      </c>
      <c r="R4" s="4" t="s">
        <v>3</v>
      </c>
      <c r="S4" s="2">
        <v>6500</v>
      </c>
      <c r="T4" s="23">
        <f t="shared" ref="T4" si="0">Q4+S4+S5+S6</f>
        <v>15500</v>
      </c>
      <c r="U4" s="9"/>
      <c r="W4" s="1" t="s">
        <v>14</v>
      </c>
    </row>
    <row r="5" spans="1:23" x14ac:dyDescent="0.4">
      <c r="A5" s="29"/>
      <c r="B5" s="4" t="s">
        <v>4</v>
      </c>
      <c r="C5" s="5" t="s">
        <v>48</v>
      </c>
      <c r="D5" s="5"/>
      <c r="E5" s="6"/>
      <c r="F5" s="23"/>
      <c r="G5" s="4" t="s">
        <v>4</v>
      </c>
      <c r="H5" s="2"/>
      <c r="I5" s="23"/>
      <c r="J5" s="9"/>
      <c r="L5" s="29"/>
      <c r="M5" s="4" t="s">
        <v>4</v>
      </c>
      <c r="N5" s="5"/>
      <c r="O5" s="5"/>
      <c r="P5" s="6"/>
      <c r="Q5" s="23"/>
      <c r="R5" s="4" t="s">
        <v>4</v>
      </c>
      <c r="S5" s="2"/>
      <c r="T5" s="23"/>
      <c r="U5" s="9"/>
    </row>
    <row r="6" spans="1:23" x14ac:dyDescent="0.4">
      <c r="A6" s="29"/>
      <c r="B6" s="4" t="s">
        <v>5</v>
      </c>
      <c r="C6" s="5"/>
      <c r="D6" s="5"/>
      <c r="E6" s="6"/>
      <c r="F6" s="23"/>
      <c r="G6" s="4" t="s">
        <v>5</v>
      </c>
      <c r="H6" s="2"/>
      <c r="I6" s="23"/>
      <c r="J6" s="9"/>
      <c r="L6" s="29"/>
      <c r="M6" s="4" t="s">
        <v>5</v>
      </c>
      <c r="N6" s="5"/>
      <c r="O6" s="5"/>
      <c r="P6" s="6"/>
      <c r="Q6" s="23"/>
      <c r="R6" s="4" t="s">
        <v>5</v>
      </c>
      <c r="S6" s="2"/>
      <c r="T6" s="23"/>
      <c r="U6" s="9"/>
    </row>
    <row r="7" spans="1:23" x14ac:dyDescent="0.4">
      <c r="A7" s="29">
        <f>A4+1</f>
        <v>45810</v>
      </c>
      <c r="B7" s="4" t="s">
        <v>3</v>
      </c>
      <c r="C7" s="5" t="s">
        <v>278</v>
      </c>
      <c r="D7" s="5" t="s">
        <v>51</v>
      </c>
      <c r="E7" s="6"/>
      <c r="F7" s="23">
        <v>9000</v>
      </c>
      <c r="G7" s="4" t="s">
        <v>3</v>
      </c>
      <c r="H7" s="2">
        <v>6500</v>
      </c>
      <c r="I7" s="23">
        <f>F7+H7+H8+H9</f>
        <v>20000</v>
      </c>
      <c r="J7" s="9"/>
      <c r="L7" s="29">
        <f>L4+1</f>
        <v>45826</v>
      </c>
      <c r="M7" s="4" t="s">
        <v>3</v>
      </c>
      <c r="N7" s="5" t="s">
        <v>68</v>
      </c>
      <c r="O7" s="5" t="s">
        <v>51</v>
      </c>
      <c r="P7" s="6"/>
      <c r="Q7" s="23">
        <v>9000</v>
      </c>
      <c r="R7" s="4" t="s">
        <v>3</v>
      </c>
      <c r="S7" s="2">
        <v>7500</v>
      </c>
      <c r="T7" s="23">
        <f t="shared" ref="T7" si="1">Q7+S7+S8+S9</f>
        <v>21000</v>
      </c>
      <c r="U7" s="9"/>
      <c r="W7">
        <f>COUNT(F4:F51,Q4:Q48)</f>
        <v>22</v>
      </c>
    </row>
    <row r="8" spans="1:23" x14ac:dyDescent="0.4">
      <c r="A8" s="29"/>
      <c r="B8" s="4" t="s">
        <v>4</v>
      </c>
      <c r="C8" s="5" t="s">
        <v>79</v>
      </c>
      <c r="D8" s="5" t="s">
        <v>19</v>
      </c>
      <c r="E8" s="6"/>
      <c r="F8" s="23"/>
      <c r="G8" s="4" t="s">
        <v>4</v>
      </c>
      <c r="H8" s="2">
        <v>4500</v>
      </c>
      <c r="I8" s="23"/>
      <c r="J8" s="9"/>
      <c r="L8" s="29"/>
      <c r="M8" s="4" t="s">
        <v>4</v>
      </c>
      <c r="N8" s="5" t="s">
        <v>79</v>
      </c>
      <c r="O8" s="5" t="s">
        <v>19</v>
      </c>
      <c r="P8" s="6"/>
      <c r="Q8" s="23"/>
      <c r="R8" s="4" t="s">
        <v>4</v>
      </c>
      <c r="S8" s="2">
        <v>4500</v>
      </c>
      <c r="T8" s="23"/>
      <c r="U8" s="9"/>
    </row>
    <row r="9" spans="1:23" x14ac:dyDescent="0.4">
      <c r="A9" s="29"/>
      <c r="B9" s="4" t="s">
        <v>5</v>
      </c>
      <c r="C9" s="5"/>
      <c r="D9" s="5"/>
      <c r="E9" s="6"/>
      <c r="F9" s="23"/>
      <c r="G9" s="4" t="s">
        <v>5</v>
      </c>
      <c r="H9" s="2"/>
      <c r="I9" s="23"/>
      <c r="J9" s="9"/>
      <c r="L9" s="29"/>
      <c r="M9" s="4" t="s">
        <v>5</v>
      </c>
      <c r="N9" s="5"/>
      <c r="O9" s="5"/>
      <c r="P9" s="6"/>
      <c r="Q9" s="23"/>
      <c r="R9" s="4" t="s">
        <v>5</v>
      </c>
      <c r="S9" s="2"/>
      <c r="T9" s="23"/>
      <c r="U9" s="9"/>
    </row>
    <row r="10" spans="1:23" x14ac:dyDescent="0.4">
      <c r="A10" s="29">
        <f t="shared" ref="A10" si="2">A7+1</f>
        <v>45811</v>
      </c>
      <c r="B10" s="4" t="s">
        <v>3</v>
      </c>
      <c r="C10" s="5" t="s">
        <v>279</v>
      </c>
      <c r="D10" s="5" t="s">
        <v>51</v>
      </c>
      <c r="E10" s="6"/>
      <c r="F10" s="23">
        <v>9000</v>
      </c>
      <c r="G10" s="4" t="s">
        <v>3</v>
      </c>
      <c r="H10" s="2">
        <v>2500</v>
      </c>
      <c r="I10" s="23">
        <f t="shared" ref="I10" si="3">F10+H10+H11+H12</f>
        <v>21000</v>
      </c>
      <c r="J10" s="9"/>
      <c r="L10" s="29">
        <f t="shared" ref="L10" si="4">L7+1</f>
        <v>45827</v>
      </c>
      <c r="M10" s="4" t="s">
        <v>3</v>
      </c>
      <c r="N10" s="5" t="s">
        <v>285</v>
      </c>
      <c r="O10" s="5" t="s">
        <v>51</v>
      </c>
      <c r="P10" s="6"/>
      <c r="Q10" s="23">
        <v>9000</v>
      </c>
      <c r="R10" s="4" t="s">
        <v>3</v>
      </c>
      <c r="S10" s="2">
        <v>4000</v>
      </c>
      <c r="T10" s="23">
        <f t="shared" ref="T10" si="5">Q10+S10+S11+S12</f>
        <v>16000</v>
      </c>
      <c r="U10" s="9"/>
    </row>
    <row r="11" spans="1:23" x14ac:dyDescent="0.4">
      <c r="A11" s="29"/>
      <c r="B11" s="4" t="s">
        <v>4</v>
      </c>
      <c r="C11" s="5" t="s">
        <v>131</v>
      </c>
      <c r="D11" s="5" t="s">
        <v>51</v>
      </c>
      <c r="E11" s="6"/>
      <c r="F11" s="23"/>
      <c r="G11" s="4" t="s">
        <v>4</v>
      </c>
      <c r="H11" s="2">
        <v>3000</v>
      </c>
      <c r="I11" s="23"/>
      <c r="J11" s="9"/>
      <c r="L11" s="29"/>
      <c r="M11" s="4" t="s">
        <v>4</v>
      </c>
      <c r="N11" s="5" t="s">
        <v>170</v>
      </c>
      <c r="O11" s="5" t="s">
        <v>51</v>
      </c>
      <c r="P11" s="6"/>
      <c r="Q11" s="23"/>
      <c r="R11" s="4" t="s">
        <v>4</v>
      </c>
      <c r="S11" s="2">
        <v>3000</v>
      </c>
      <c r="T11" s="23"/>
      <c r="U11" s="9"/>
    </row>
    <row r="12" spans="1:23" x14ac:dyDescent="0.4">
      <c r="A12" s="29"/>
      <c r="B12" s="4" t="s">
        <v>5</v>
      </c>
      <c r="C12" s="5" t="s">
        <v>182</v>
      </c>
      <c r="D12" s="5" t="s">
        <v>51</v>
      </c>
      <c r="E12" s="6"/>
      <c r="F12" s="23"/>
      <c r="G12" s="4" t="s">
        <v>5</v>
      </c>
      <c r="H12" s="2">
        <v>6500</v>
      </c>
      <c r="I12" s="23"/>
      <c r="J12" s="9"/>
      <c r="L12" s="29"/>
      <c r="M12" s="4" t="s">
        <v>5</v>
      </c>
      <c r="N12" s="5"/>
      <c r="O12" s="5"/>
      <c r="P12" s="6"/>
      <c r="Q12" s="23"/>
      <c r="R12" s="4" t="s">
        <v>5</v>
      </c>
      <c r="S12" s="2"/>
      <c r="T12" s="23"/>
      <c r="U12" s="9"/>
    </row>
    <row r="13" spans="1:23" x14ac:dyDescent="0.4">
      <c r="A13" s="29">
        <f t="shared" ref="A13" si="6">A10+1</f>
        <v>45812</v>
      </c>
      <c r="B13" s="4" t="s">
        <v>3</v>
      </c>
      <c r="C13" s="5" t="s">
        <v>280</v>
      </c>
      <c r="D13" s="5" t="s">
        <v>51</v>
      </c>
      <c r="E13" s="6"/>
      <c r="F13" s="23">
        <v>9000</v>
      </c>
      <c r="G13" s="4" t="s">
        <v>3</v>
      </c>
      <c r="H13" s="2">
        <v>4550</v>
      </c>
      <c r="I13" s="23">
        <f t="shared" ref="I13" si="7">F13+H13+H14+H15</f>
        <v>20050</v>
      </c>
      <c r="J13" s="9" t="s">
        <v>281</v>
      </c>
      <c r="L13" s="29">
        <f t="shared" ref="L13" si="8">L10+1</f>
        <v>45828</v>
      </c>
      <c r="M13" s="4" t="s">
        <v>3</v>
      </c>
      <c r="N13" s="5" t="s">
        <v>286</v>
      </c>
      <c r="O13" s="5" t="s">
        <v>51</v>
      </c>
      <c r="P13" s="6"/>
      <c r="Q13" s="23">
        <v>9000</v>
      </c>
      <c r="R13" s="4" t="s">
        <v>3</v>
      </c>
      <c r="S13" s="2">
        <v>4000</v>
      </c>
      <c r="T13" s="23">
        <f t="shared" ref="T13" si="9">Q13+S13+S14+S15</f>
        <v>23500</v>
      </c>
      <c r="U13" s="9"/>
    </row>
    <row r="14" spans="1:23" x14ac:dyDescent="0.4">
      <c r="A14" s="29"/>
      <c r="B14" s="4" t="s">
        <v>4</v>
      </c>
      <c r="C14" s="5" t="s">
        <v>59</v>
      </c>
      <c r="D14" s="5" t="s">
        <v>51</v>
      </c>
      <c r="E14" s="6"/>
      <c r="F14" s="23"/>
      <c r="G14" s="4" t="s">
        <v>4</v>
      </c>
      <c r="H14" s="2">
        <v>6500</v>
      </c>
      <c r="I14" s="23"/>
      <c r="J14" s="9"/>
      <c r="L14" s="29"/>
      <c r="M14" s="4" t="s">
        <v>4</v>
      </c>
      <c r="N14" s="5" t="s">
        <v>111</v>
      </c>
      <c r="O14" s="5" t="s">
        <v>51</v>
      </c>
      <c r="P14" s="6"/>
      <c r="Q14" s="23"/>
      <c r="R14" s="4" t="s">
        <v>4</v>
      </c>
      <c r="S14" s="2">
        <v>4000</v>
      </c>
      <c r="T14" s="23"/>
      <c r="U14" s="9"/>
    </row>
    <row r="15" spans="1:23" x14ac:dyDescent="0.4">
      <c r="A15" s="29"/>
      <c r="B15" s="4" t="s">
        <v>5</v>
      </c>
      <c r="C15" s="5"/>
      <c r="D15" s="5"/>
      <c r="E15" s="6"/>
      <c r="F15" s="23"/>
      <c r="G15" s="4" t="s">
        <v>5</v>
      </c>
      <c r="H15" s="2"/>
      <c r="I15" s="23"/>
      <c r="J15" s="9"/>
      <c r="L15" s="29"/>
      <c r="M15" s="4" t="s">
        <v>5</v>
      </c>
      <c r="N15" s="5" t="s">
        <v>59</v>
      </c>
      <c r="O15" s="5" t="s">
        <v>51</v>
      </c>
      <c r="P15" s="6"/>
      <c r="Q15" s="23"/>
      <c r="R15" s="4" t="s">
        <v>5</v>
      </c>
      <c r="S15" s="2">
        <v>6500</v>
      </c>
      <c r="T15" s="23"/>
      <c r="U15" s="9"/>
    </row>
    <row r="16" spans="1:23" x14ac:dyDescent="0.4">
      <c r="A16" s="29">
        <f t="shared" ref="A16" si="10">A13+1</f>
        <v>45813</v>
      </c>
      <c r="B16" s="4" t="s">
        <v>3</v>
      </c>
      <c r="C16" s="5" t="s">
        <v>100</v>
      </c>
      <c r="D16" s="5" t="s">
        <v>51</v>
      </c>
      <c r="E16" s="6"/>
      <c r="F16" s="23">
        <v>9000</v>
      </c>
      <c r="G16" s="4" t="s">
        <v>3</v>
      </c>
      <c r="H16" s="2">
        <v>6500</v>
      </c>
      <c r="I16" s="23">
        <f t="shared" ref="I16" si="11">F16+H16+H17+H18</f>
        <v>22000</v>
      </c>
      <c r="J16" s="9"/>
      <c r="L16" s="29">
        <f t="shared" ref="L16" si="12">L13+1</f>
        <v>45829</v>
      </c>
      <c r="M16" s="4" t="s">
        <v>3</v>
      </c>
      <c r="N16" s="5"/>
      <c r="O16" s="5"/>
      <c r="P16" s="6"/>
      <c r="Q16" s="23"/>
      <c r="R16" s="4" t="s">
        <v>3</v>
      </c>
      <c r="S16" s="2"/>
      <c r="T16" s="23">
        <f t="shared" ref="T16" si="13">Q16+S16+S17+S18</f>
        <v>0</v>
      </c>
      <c r="U16" s="9"/>
    </row>
    <row r="17" spans="1:21" x14ac:dyDescent="0.4">
      <c r="A17" s="29"/>
      <c r="B17" s="4" t="s">
        <v>4</v>
      </c>
      <c r="C17" s="5" t="s">
        <v>59</v>
      </c>
      <c r="D17" s="5" t="s">
        <v>51</v>
      </c>
      <c r="E17" s="6"/>
      <c r="F17" s="23"/>
      <c r="G17" s="4" t="s">
        <v>4</v>
      </c>
      <c r="H17" s="2">
        <v>6500</v>
      </c>
      <c r="I17" s="23"/>
      <c r="J17" s="9"/>
      <c r="L17" s="29"/>
      <c r="M17" s="4" t="s">
        <v>4</v>
      </c>
      <c r="N17" s="5" t="s">
        <v>48</v>
      </c>
      <c r="O17" s="5"/>
      <c r="P17" s="6"/>
      <c r="Q17" s="23"/>
      <c r="R17" s="4" t="s">
        <v>4</v>
      </c>
      <c r="S17" s="2"/>
      <c r="T17" s="23"/>
      <c r="U17" s="9"/>
    </row>
    <row r="18" spans="1:21" x14ac:dyDescent="0.4">
      <c r="A18" s="29"/>
      <c r="B18" s="4" t="s">
        <v>5</v>
      </c>
      <c r="C18" s="5"/>
      <c r="D18" s="5"/>
      <c r="E18" s="6"/>
      <c r="F18" s="23"/>
      <c r="G18" s="4" t="s">
        <v>5</v>
      </c>
      <c r="H18" s="2"/>
      <c r="I18" s="23"/>
      <c r="J18" s="9"/>
      <c r="L18" s="29"/>
      <c r="M18" s="4" t="s">
        <v>5</v>
      </c>
      <c r="N18" s="5"/>
      <c r="O18" s="5"/>
      <c r="P18" s="6"/>
      <c r="Q18" s="23"/>
      <c r="R18" s="4" t="s">
        <v>5</v>
      </c>
      <c r="S18" s="2"/>
      <c r="T18" s="23"/>
      <c r="U18" s="9"/>
    </row>
    <row r="19" spans="1:21" x14ac:dyDescent="0.4">
      <c r="A19" s="29">
        <f t="shared" ref="A19" si="14">A16+1</f>
        <v>45814</v>
      </c>
      <c r="B19" s="4" t="s">
        <v>3</v>
      </c>
      <c r="C19" s="5" t="s">
        <v>100</v>
      </c>
      <c r="D19" s="5" t="s">
        <v>51</v>
      </c>
      <c r="E19" s="6"/>
      <c r="F19" s="23">
        <v>9000</v>
      </c>
      <c r="G19" s="4" t="s">
        <v>3</v>
      </c>
      <c r="H19" s="2">
        <v>6500</v>
      </c>
      <c r="I19" s="23">
        <f t="shared" ref="I19" si="15">F19+H19+H20+H21</f>
        <v>20000</v>
      </c>
      <c r="J19" s="9"/>
      <c r="L19" s="29">
        <f t="shared" ref="L19" si="16">L16+1</f>
        <v>45830</v>
      </c>
      <c r="M19" s="4" t="s">
        <v>3</v>
      </c>
      <c r="N19" s="5"/>
      <c r="O19" s="5"/>
      <c r="P19" s="6"/>
      <c r="Q19" s="23"/>
      <c r="R19" s="4" t="s">
        <v>3</v>
      </c>
      <c r="S19" s="2"/>
      <c r="T19" s="23">
        <f t="shared" ref="T19" si="17">Q19+S19+S20+S21</f>
        <v>0</v>
      </c>
      <c r="U19" s="9"/>
    </row>
    <row r="20" spans="1:21" x14ac:dyDescent="0.4">
      <c r="A20" s="29"/>
      <c r="B20" s="4" t="s">
        <v>4</v>
      </c>
      <c r="C20" s="5" t="s">
        <v>104</v>
      </c>
      <c r="D20" s="5" t="s">
        <v>51</v>
      </c>
      <c r="E20" s="6"/>
      <c r="F20" s="23"/>
      <c r="G20" s="4" t="s">
        <v>4</v>
      </c>
      <c r="H20" s="2">
        <v>4500</v>
      </c>
      <c r="I20" s="23"/>
      <c r="J20" s="9"/>
      <c r="L20" s="29"/>
      <c r="M20" s="4" t="s">
        <v>4</v>
      </c>
      <c r="N20" s="5" t="s">
        <v>48</v>
      </c>
      <c r="O20" s="5"/>
      <c r="P20" s="6"/>
      <c r="Q20" s="23"/>
      <c r="R20" s="4" t="s">
        <v>4</v>
      </c>
      <c r="S20" s="2"/>
      <c r="T20" s="23"/>
      <c r="U20" s="9"/>
    </row>
    <row r="21" spans="1:21" x14ac:dyDescent="0.4">
      <c r="A21" s="29"/>
      <c r="B21" s="4" t="s">
        <v>5</v>
      </c>
      <c r="C21" s="5"/>
      <c r="D21" s="5"/>
      <c r="E21" s="6"/>
      <c r="F21" s="23"/>
      <c r="G21" s="4" t="s">
        <v>5</v>
      </c>
      <c r="H21" s="2"/>
      <c r="I21" s="23"/>
      <c r="J21" s="9"/>
      <c r="L21" s="29"/>
      <c r="M21" s="4" t="s">
        <v>5</v>
      </c>
      <c r="N21" s="5"/>
      <c r="O21" s="5"/>
      <c r="P21" s="6"/>
      <c r="Q21" s="23"/>
      <c r="R21" s="4" t="s">
        <v>5</v>
      </c>
      <c r="S21" s="2"/>
      <c r="T21" s="23"/>
      <c r="U21" s="9"/>
    </row>
    <row r="22" spans="1:21" x14ac:dyDescent="0.4">
      <c r="A22" s="29">
        <f t="shared" ref="A22" si="18">A19+1</f>
        <v>45815</v>
      </c>
      <c r="B22" s="4" t="s">
        <v>3</v>
      </c>
      <c r="C22" s="5"/>
      <c r="D22" s="5"/>
      <c r="E22" s="6"/>
      <c r="F22" s="23"/>
      <c r="G22" s="4" t="s">
        <v>3</v>
      </c>
      <c r="H22" s="2"/>
      <c r="I22" s="23">
        <f t="shared" ref="I22" si="19">F22+H22+H23+H24</f>
        <v>0</v>
      </c>
      <c r="J22" s="9"/>
      <c r="L22" s="29">
        <f t="shared" ref="L22" si="20">L19+1</f>
        <v>45831</v>
      </c>
      <c r="M22" s="4" t="s">
        <v>3</v>
      </c>
      <c r="N22" s="5" t="s">
        <v>78</v>
      </c>
      <c r="O22" s="5" t="s">
        <v>51</v>
      </c>
      <c r="P22" s="6"/>
      <c r="Q22" s="23">
        <v>9000</v>
      </c>
      <c r="R22" s="4" t="s">
        <v>3</v>
      </c>
      <c r="S22" s="2">
        <v>6500</v>
      </c>
      <c r="T22" s="23">
        <f t="shared" ref="T22" si="21">Q22+S22+S23+S24</f>
        <v>22000</v>
      </c>
      <c r="U22" s="9"/>
    </row>
    <row r="23" spans="1:21" x14ac:dyDescent="0.4">
      <c r="A23" s="29"/>
      <c r="B23" s="4" t="s">
        <v>4</v>
      </c>
      <c r="C23" s="5" t="s">
        <v>48</v>
      </c>
      <c r="D23" s="5"/>
      <c r="E23" s="6"/>
      <c r="F23" s="23"/>
      <c r="G23" s="4" t="s">
        <v>4</v>
      </c>
      <c r="H23" s="2"/>
      <c r="I23" s="23"/>
      <c r="J23" s="9"/>
      <c r="L23" s="29"/>
      <c r="M23" s="4" t="s">
        <v>4</v>
      </c>
      <c r="N23" s="5" t="s">
        <v>287</v>
      </c>
      <c r="O23" s="5" t="s">
        <v>51</v>
      </c>
      <c r="P23" s="6"/>
      <c r="Q23" s="23"/>
      <c r="R23" s="4" t="s">
        <v>4</v>
      </c>
      <c r="S23" s="2">
        <v>6500</v>
      </c>
      <c r="T23" s="23"/>
      <c r="U23" s="9"/>
    </row>
    <row r="24" spans="1:21" x14ac:dyDescent="0.4">
      <c r="A24" s="29"/>
      <c r="B24" s="4" t="s">
        <v>5</v>
      </c>
      <c r="C24" s="5"/>
      <c r="D24" s="5"/>
      <c r="E24" s="6"/>
      <c r="F24" s="23"/>
      <c r="G24" s="4" t="s">
        <v>5</v>
      </c>
      <c r="H24" s="2"/>
      <c r="I24" s="23"/>
      <c r="J24" s="9"/>
      <c r="L24" s="29"/>
      <c r="M24" s="4" t="s">
        <v>5</v>
      </c>
      <c r="N24" s="5"/>
      <c r="O24" s="5"/>
      <c r="P24" s="6"/>
      <c r="Q24" s="23"/>
      <c r="R24" s="4" t="s">
        <v>5</v>
      </c>
      <c r="S24" s="2"/>
      <c r="T24" s="23"/>
      <c r="U24" s="9"/>
    </row>
    <row r="25" spans="1:21" x14ac:dyDescent="0.4">
      <c r="A25" s="29">
        <f t="shared" ref="A25" si="22">A22+1</f>
        <v>45816</v>
      </c>
      <c r="B25" s="4" t="s">
        <v>3</v>
      </c>
      <c r="C25" s="5" t="s">
        <v>95</v>
      </c>
      <c r="D25" s="5" t="s">
        <v>19</v>
      </c>
      <c r="E25" s="6"/>
      <c r="F25" s="64">
        <v>14000</v>
      </c>
      <c r="G25" s="4" t="s">
        <v>3</v>
      </c>
      <c r="H25" s="2">
        <v>9000</v>
      </c>
      <c r="I25" s="23">
        <f t="shared" ref="I25" si="23">F25+H25+H26+H27</f>
        <v>26000</v>
      </c>
      <c r="J25" s="9"/>
      <c r="L25" s="29">
        <f t="shared" ref="L25" si="24">L22+1</f>
        <v>45832</v>
      </c>
      <c r="M25" s="4" t="s">
        <v>3</v>
      </c>
      <c r="N25" s="5" t="s">
        <v>112</v>
      </c>
      <c r="O25" s="5" t="s">
        <v>51</v>
      </c>
      <c r="P25" s="6"/>
      <c r="Q25" s="23">
        <v>9000</v>
      </c>
      <c r="R25" s="4" t="s">
        <v>3</v>
      </c>
      <c r="S25" s="2">
        <v>6500</v>
      </c>
      <c r="T25" s="23">
        <f t="shared" ref="T25" si="25">Q25+S25+S26+S27</f>
        <v>22000</v>
      </c>
      <c r="U25" s="9"/>
    </row>
    <row r="26" spans="1:21" x14ac:dyDescent="0.4">
      <c r="A26" s="29"/>
      <c r="B26" s="4" t="s">
        <v>4</v>
      </c>
      <c r="C26" s="5" t="s">
        <v>282</v>
      </c>
      <c r="D26" s="5" t="s">
        <v>19</v>
      </c>
      <c r="E26" s="6"/>
      <c r="F26" s="64"/>
      <c r="G26" s="4" t="s">
        <v>4</v>
      </c>
      <c r="H26" s="2">
        <v>3000</v>
      </c>
      <c r="I26" s="23"/>
      <c r="J26" s="9"/>
      <c r="L26" s="29"/>
      <c r="M26" s="4" t="s">
        <v>4</v>
      </c>
      <c r="N26" s="5" t="s">
        <v>288</v>
      </c>
      <c r="O26" s="5" t="s">
        <v>51</v>
      </c>
      <c r="P26" s="6"/>
      <c r="Q26" s="23"/>
      <c r="R26" s="4" t="s">
        <v>4</v>
      </c>
      <c r="S26" s="2">
        <v>6500</v>
      </c>
      <c r="T26" s="23"/>
      <c r="U26" s="9"/>
    </row>
    <row r="27" spans="1:21" x14ac:dyDescent="0.4">
      <c r="A27" s="29"/>
      <c r="B27" s="4" t="s">
        <v>5</v>
      </c>
      <c r="C27" s="5"/>
      <c r="D27" s="5"/>
      <c r="E27" s="6"/>
      <c r="F27" s="64"/>
      <c r="G27" s="4" t="s">
        <v>5</v>
      </c>
      <c r="H27" s="2"/>
      <c r="I27" s="23"/>
      <c r="J27" s="9"/>
      <c r="L27" s="29"/>
      <c r="M27" s="4" t="s">
        <v>5</v>
      </c>
      <c r="N27" s="5"/>
      <c r="O27" s="5"/>
      <c r="P27" s="6"/>
      <c r="Q27" s="23"/>
      <c r="R27" s="4" t="s">
        <v>5</v>
      </c>
      <c r="S27" s="2"/>
      <c r="T27" s="23"/>
      <c r="U27" s="9"/>
    </row>
    <row r="28" spans="1:21" x14ac:dyDescent="0.4">
      <c r="A28" s="29">
        <f t="shared" ref="A28" si="26">A25+1</f>
        <v>45817</v>
      </c>
      <c r="B28" s="4" t="s">
        <v>3</v>
      </c>
      <c r="C28" s="5" t="s">
        <v>283</v>
      </c>
      <c r="D28" s="5" t="s">
        <v>51</v>
      </c>
      <c r="E28" s="6"/>
      <c r="F28" s="23">
        <v>9000</v>
      </c>
      <c r="G28" s="4" t="s">
        <v>3</v>
      </c>
      <c r="H28" s="2">
        <v>3000</v>
      </c>
      <c r="I28" s="23">
        <f t="shared" ref="I28" si="27">F28+H28+H29+H30</f>
        <v>21000</v>
      </c>
      <c r="J28" s="9"/>
      <c r="L28" s="29">
        <f t="shared" ref="L28" si="28">L25+1</f>
        <v>45833</v>
      </c>
      <c r="M28" s="4" t="s">
        <v>3</v>
      </c>
      <c r="N28" s="5" t="s">
        <v>289</v>
      </c>
      <c r="O28" s="5" t="s">
        <v>51</v>
      </c>
      <c r="P28" s="6"/>
      <c r="Q28" s="23">
        <v>9000</v>
      </c>
      <c r="R28" s="4" t="s">
        <v>3</v>
      </c>
      <c r="S28" s="2">
        <v>6500</v>
      </c>
      <c r="T28" s="23">
        <f t="shared" ref="T28" si="29">Q28+S28+S29+S30</f>
        <v>22000</v>
      </c>
      <c r="U28" s="9"/>
    </row>
    <row r="29" spans="1:21" x14ac:dyDescent="0.4">
      <c r="A29" s="29"/>
      <c r="B29" s="4" t="s">
        <v>4</v>
      </c>
      <c r="C29" s="5" t="s">
        <v>95</v>
      </c>
      <c r="D29" s="5" t="s">
        <v>19</v>
      </c>
      <c r="E29" s="6"/>
      <c r="F29" s="23"/>
      <c r="G29" s="4" t="s">
        <v>4</v>
      </c>
      <c r="H29" s="2">
        <v>9000</v>
      </c>
      <c r="I29" s="23"/>
      <c r="J29" s="9"/>
      <c r="L29" s="29"/>
      <c r="M29" s="4" t="s">
        <v>4</v>
      </c>
      <c r="N29" s="5" t="s">
        <v>59</v>
      </c>
      <c r="O29" s="5" t="s">
        <v>51</v>
      </c>
      <c r="P29" s="6"/>
      <c r="Q29" s="23"/>
      <c r="R29" s="4" t="s">
        <v>4</v>
      </c>
      <c r="S29" s="2">
        <v>6500</v>
      </c>
      <c r="T29" s="23"/>
      <c r="U29" s="9"/>
    </row>
    <row r="30" spans="1:21" x14ac:dyDescent="0.4">
      <c r="A30" s="29"/>
      <c r="B30" s="4" t="s">
        <v>5</v>
      </c>
      <c r="C30" s="5"/>
      <c r="D30" s="5"/>
      <c r="E30" s="6"/>
      <c r="F30" s="23"/>
      <c r="G30" s="4" t="s">
        <v>5</v>
      </c>
      <c r="H30" s="2"/>
      <c r="I30" s="23"/>
      <c r="J30" s="9"/>
      <c r="L30" s="29"/>
      <c r="M30" s="4" t="s">
        <v>5</v>
      </c>
      <c r="N30" s="5"/>
      <c r="O30" s="5"/>
      <c r="P30" s="6"/>
      <c r="Q30" s="23"/>
      <c r="R30" s="4" t="s">
        <v>5</v>
      </c>
      <c r="S30" s="2"/>
      <c r="T30" s="23"/>
      <c r="U30" s="9"/>
    </row>
    <row r="31" spans="1:21" x14ac:dyDescent="0.4">
      <c r="A31" s="29">
        <f t="shared" ref="A31" si="30">A28+1</f>
        <v>45818</v>
      </c>
      <c r="B31" s="4" t="s">
        <v>3</v>
      </c>
      <c r="C31" s="5" t="s">
        <v>95</v>
      </c>
      <c r="D31" s="5" t="s">
        <v>19</v>
      </c>
      <c r="E31" s="6"/>
      <c r="F31" s="23">
        <v>9000</v>
      </c>
      <c r="G31" s="4" t="s">
        <v>3</v>
      </c>
      <c r="H31" s="2">
        <v>9000</v>
      </c>
      <c r="I31" s="23">
        <f t="shared" ref="I31" si="31">F31+H31+H32+H33</f>
        <v>21000</v>
      </c>
      <c r="J31" s="9"/>
      <c r="L31" s="29">
        <f t="shared" ref="L31" si="32">L28+1</f>
        <v>45834</v>
      </c>
      <c r="M31" s="4" t="s">
        <v>3</v>
      </c>
      <c r="N31" s="5" t="s">
        <v>100</v>
      </c>
      <c r="O31" s="5" t="s">
        <v>51</v>
      </c>
      <c r="P31" s="6"/>
      <c r="Q31" s="23">
        <v>9000</v>
      </c>
      <c r="R31" s="4" t="s">
        <v>3</v>
      </c>
      <c r="S31" s="2">
        <v>6500</v>
      </c>
      <c r="T31" s="23">
        <f t="shared" ref="T31" si="33">Q31+S31+S32+S33</f>
        <v>22000</v>
      </c>
      <c r="U31" s="9"/>
    </row>
    <row r="32" spans="1:21" x14ac:dyDescent="0.4">
      <c r="A32" s="29"/>
      <c r="B32" s="4" t="s">
        <v>4</v>
      </c>
      <c r="C32" s="5" t="s">
        <v>282</v>
      </c>
      <c r="D32" s="5" t="s">
        <v>19</v>
      </c>
      <c r="E32" s="6"/>
      <c r="F32" s="23"/>
      <c r="G32" s="4" t="s">
        <v>4</v>
      </c>
      <c r="H32" s="2">
        <v>3000</v>
      </c>
      <c r="I32" s="23"/>
      <c r="J32" s="9"/>
      <c r="L32" s="29"/>
      <c r="M32" s="4" t="s">
        <v>4</v>
      </c>
      <c r="N32" s="5" t="s">
        <v>59</v>
      </c>
      <c r="O32" s="5" t="s">
        <v>51</v>
      </c>
      <c r="P32" s="6"/>
      <c r="Q32" s="23"/>
      <c r="R32" s="4" t="s">
        <v>4</v>
      </c>
      <c r="S32" s="2">
        <v>6500</v>
      </c>
      <c r="T32" s="23"/>
      <c r="U32" s="9"/>
    </row>
    <row r="33" spans="1:24" x14ac:dyDescent="0.4">
      <c r="A33" s="29"/>
      <c r="B33" s="4" t="s">
        <v>5</v>
      </c>
      <c r="C33" s="5"/>
      <c r="D33" s="5"/>
      <c r="E33" s="6"/>
      <c r="F33" s="23"/>
      <c r="G33" s="4" t="s">
        <v>5</v>
      </c>
      <c r="H33" s="2"/>
      <c r="I33" s="23"/>
      <c r="J33" s="9"/>
      <c r="L33" s="29"/>
      <c r="M33" s="4" t="s">
        <v>5</v>
      </c>
      <c r="N33" s="5"/>
      <c r="O33" s="5"/>
      <c r="P33" s="6"/>
      <c r="Q33" s="23"/>
      <c r="R33" s="4" t="s">
        <v>5</v>
      </c>
      <c r="S33" s="2"/>
      <c r="T33" s="23"/>
      <c r="U33" s="9"/>
    </row>
    <row r="34" spans="1:24" x14ac:dyDescent="0.4">
      <c r="A34" s="29">
        <f t="shared" ref="A34" si="34">A31+1</f>
        <v>45819</v>
      </c>
      <c r="B34" s="4" t="s">
        <v>3</v>
      </c>
      <c r="C34" s="5"/>
      <c r="D34" s="5"/>
      <c r="E34" s="6"/>
      <c r="F34" s="23">
        <v>9000</v>
      </c>
      <c r="G34" s="4" t="s">
        <v>3</v>
      </c>
      <c r="H34" s="2"/>
      <c r="I34" s="23">
        <f t="shared" ref="I34" si="35">F34+H34+H35+H36</f>
        <v>18000</v>
      </c>
      <c r="J34" s="9"/>
      <c r="L34" s="29">
        <f t="shared" ref="L34" si="36">L31+1</f>
        <v>45835</v>
      </c>
      <c r="M34" s="4" t="s">
        <v>3</v>
      </c>
      <c r="N34" s="5" t="s">
        <v>100</v>
      </c>
      <c r="O34" s="5" t="s">
        <v>51</v>
      </c>
      <c r="P34" s="6"/>
      <c r="Q34" s="23">
        <v>9000</v>
      </c>
      <c r="R34" s="4" t="s">
        <v>3</v>
      </c>
      <c r="S34" s="2">
        <v>6500</v>
      </c>
      <c r="T34" s="23">
        <f t="shared" ref="T34" si="37">Q34+S34+S35+S36</f>
        <v>20000</v>
      </c>
      <c r="U34" s="9"/>
    </row>
    <row r="35" spans="1:24" x14ac:dyDescent="0.4">
      <c r="A35" s="29"/>
      <c r="B35" s="4" t="s">
        <v>4</v>
      </c>
      <c r="C35" s="5" t="s">
        <v>95</v>
      </c>
      <c r="D35" s="5" t="s">
        <v>19</v>
      </c>
      <c r="E35" s="6"/>
      <c r="F35" s="23"/>
      <c r="G35" s="4" t="s">
        <v>4</v>
      </c>
      <c r="H35" s="2">
        <v>9000</v>
      </c>
      <c r="I35" s="23"/>
      <c r="J35" s="9"/>
      <c r="L35" s="29"/>
      <c r="M35" s="4" t="s">
        <v>4</v>
      </c>
      <c r="N35" s="5" t="s">
        <v>200</v>
      </c>
      <c r="O35" s="5" t="s">
        <v>51</v>
      </c>
      <c r="P35" s="6"/>
      <c r="Q35" s="23"/>
      <c r="R35" s="4" t="s">
        <v>4</v>
      </c>
      <c r="S35" s="2">
        <v>4500</v>
      </c>
      <c r="T35" s="23"/>
      <c r="U35" s="9"/>
    </row>
    <row r="36" spans="1:24" x14ac:dyDescent="0.4">
      <c r="A36" s="29"/>
      <c r="B36" s="4" t="s">
        <v>5</v>
      </c>
      <c r="C36" s="5"/>
      <c r="D36" s="5"/>
      <c r="E36" s="6"/>
      <c r="F36" s="23"/>
      <c r="G36" s="4" t="s">
        <v>5</v>
      </c>
      <c r="H36" s="2"/>
      <c r="I36" s="23"/>
      <c r="J36" s="9"/>
      <c r="L36" s="29"/>
      <c r="M36" s="4" t="s">
        <v>5</v>
      </c>
      <c r="N36" s="5"/>
      <c r="O36" s="5"/>
      <c r="P36" s="6"/>
      <c r="Q36" s="23"/>
      <c r="R36" s="4" t="s">
        <v>5</v>
      </c>
      <c r="S36" s="2"/>
      <c r="T36" s="23"/>
      <c r="U36" s="9"/>
    </row>
    <row r="37" spans="1:24" x14ac:dyDescent="0.4">
      <c r="A37" s="29">
        <f t="shared" ref="A37" si="38">A34+1</f>
        <v>45820</v>
      </c>
      <c r="B37" s="4" t="s">
        <v>3</v>
      </c>
      <c r="C37" s="5"/>
      <c r="D37" s="5"/>
      <c r="E37" s="6"/>
      <c r="F37" s="23">
        <v>9000</v>
      </c>
      <c r="G37" s="4" t="s">
        <v>3</v>
      </c>
      <c r="H37" s="2"/>
      <c r="I37" s="23">
        <f t="shared" ref="I37" si="39">F37+H37+H38+H39</f>
        <v>18000</v>
      </c>
      <c r="J37" s="9"/>
      <c r="L37" s="29">
        <f t="shared" ref="L37" si="40">L34+1</f>
        <v>45836</v>
      </c>
      <c r="M37" s="4" t="s">
        <v>3</v>
      </c>
      <c r="N37" s="5"/>
      <c r="O37" s="5"/>
      <c r="P37" s="6"/>
      <c r="Q37" s="23"/>
      <c r="R37" s="4" t="s">
        <v>3</v>
      </c>
      <c r="S37" s="2"/>
      <c r="T37" s="23">
        <f t="shared" ref="T37" si="41">Q37+S37+S38+S39</f>
        <v>0</v>
      </c>
      <c r="U37" s="9"/>
      <c r="X37">
        <f>N50</f>
        <v>5000</v>
      </c>
    </row>
    <row r="38" spans="1:24" x14ac:dyDescent="0.4">
      <c r="A38" s="29"/>
      <c r="B38" s="4" t="s">
        <v>4</v>
      </c>
      <c r="C38" s="5" t="s">
        <v>95</v>
      </c>
      <c r="D38" s="5" t="s">
        <v>19</v>
      </c>
      <c r="E38" s="6"/>
      <c r="F38" s="23"/>
      <c r="G38" s="4" t="s">
        <v>4</v>
      </c>
      <c r="H38" s="2">
        <v>9000</v>
      </c>
      <c r="I38" s="23"/>
      <c r="J38" s="9"/>
      <c r="L38" s="29"/>
      <c r="M38" s="4" t="s">
        <v>4</v>
      </c>
      <c r="N38" s="5" t="s">
        <v>48</v>
      </c>
      <c r="O38" s="5"/>
      <c r="P38" s="6"/>
      <c r="Q38" s="23"/>
      <c r="R38" s="4" t="s">
        <v>4</v>
      </c>
      <c r="S38" s="2"/>
      <c r="T38" s="23"/>
      <c r="U38" s="9"/>
      <c r="X38">
        <f>O50</f>
        <v>203000</v>
      </c>
    </row>
    <row r="39" spans="1:24" x14ac:dyDescent="0.4">
      <c r="A39" s="29"/>
      <c r="B39" s="4" t="s">
        <v>5</v>
      </c>
      <c r="C39" s="5"/>
      <c r="D39" s="5"/>
      <c r="E39" s="6"/>
      <c r="F39" s="23"/>
      <c r="G39" s="4" t="s">
        <v>5</v>
      </c>
      <c r="H39" s="2"/>
      <c r="I39" s="23"/>
      <c r="J39" s="9"/>
      <c r="L39" s="29"/>
      <c r="M39" s="4" t="s">
        <v>5</v>
      </c>
      <c r="N39" s="5"/>
      <c r="O39" s="5"/>
      <c r="P39" s="6"/>
      <c r="Q39" s="23"/>
      <c r="R39" s="4" t="s">
        <v>5</v>
      </c>
      <c r="S39" s="2"/>
      <c r="T39" s="23"/>
      <c r="U39" s="9"/>
      <c r="X39">
        <f>S50</f>
        <v>241550</v>
      </c>
    </row>
    <row r="40" spans="1:24" x14ac:dyDescent="0.4">
      <c r="A40" s="29">
        <f t="shared" ref="A40" si="42">A37+1</f>
        <v>45821</v>
      </c>
      <c r="B40" s="4" t="s">
        <v>3</v>
      </c>
      <c r="C40" s="5"/>
      <c r="D40" s="5"/>
      <c r="E40" s="6"/>
      <c r="F40" s="23">
        <v>9000</v>
      </c>
      <c r="G40" s="4" t="s">
        <v>3</v>
      </c>
      <c r="H40" s="2"/>
      <c r="I40" s="23">
        <f t="shared" ref="I40" si="43">F40+H40+H41+H42</f>
        <v>18000</v>
      </c>
      <c r="J40" s="9"/>
      <c r="L40" s="29">
        <f t="shared" ref="L40" si="44">L37+1</f>
        <v>45837</v>
      </c>
      <c r="M40" s="4" t="s">
        <v>3</v>
      </c>
      <c r="N40" s="5"/>
      <c r="O40" s="5"/>
      <c r="P40" s="6"/>
      <c r="Q40" s="23"/>
      <c r="R40" s="4" t="s">
        <v>3</v>
      </c>
      <c r="S40" s="2"/>
      <c r="T40" s="23">
        <f t="shared" ref="T40" si="45">Q40+S40+S41+S42</f>
        <v>0</v>
      </c>
      <c r="U40" s="9"/>
      <c r="X40">
        <f>U50</f>
        <v>10000</v>
      </c>
    </row>
    <row r="41" spans="1:24" x14ac:dyDescent="0.4">
      <c r="A41" s="29"/>
      <c r="B41" s="4" t="s">
        <v>4</v>
      </c>
      <c r="C41" s="5" t="s">
        <v>95</v>
      </c>
      <c r="D41" s="5" t="s">
        <v>19</v>
      </c>
      <c r="E41" s="6"/>
      <c r="F41" s="23"/>
      <c r="G41" s="4" t="s">
        <v>4</v>
      </c>
      <c r="H41" s="2">
        <v>9000</v>
      </c>
      <c r="I41" s="23"/>
      <c r="J41" s="9"/>
      <c r="L41" s="29"/>
      <c r="M41" s="4" t="s">
        <v>4</v>
      </c>
      <c r="N41" s="5" t="s">
        <v>48</v>
      </c>
      <c r="O41" s="5"/>
      <c r="P41" s="6"/>
      <c r="Q41" s="23"/>
      <c r="R41" s="4" t="s">
        <v>4</v>
      </c>
      <c r="S41" s="2"/>
      <c r="T41" s="23"/>
      <c r="U41" s="9"/>
      <c r="X41">
        <f>Q53</f>
        <v>5000</v>
      </c>
    </row>
    <row r="42" spans="1:24" x14ac:dyDescent="0.4">
      <c r="A42" s="29"/>
      <c r="B42" s="4" t="s">
        <v>5</v>
      </c>
      <c r="C42" s="5"/>
      <c r="D42" s="5"/>
      <c r="E42" s="6"/>
      <c r="F42" s="23"/>
      <c r="G42" s="4" t="s">
        <v>5</v>
      </c>
      <c r="H42" s="2"/>
      <c r="I42" s="23"/>
      <c r="J42" s="9"/>
      <c r="L42" s="29"/>
      <c r="M42" s="4" t="s">
        <v>5</v>
      </c>
      <c r="N42" s="5"/>
      <c r="O42" s="5"/>
      <c r="P42" s="6"/>
      <c r="Q42" s="23"/>
      <c r="R42" s="4" t="s">
        <v>5</v>
      </c>
      <c r="S42" s="2"/>
      <c r="T42" s="23"/>
      <c r="U42" s="9"/>
      <c r="X42">
        <f>S53</f>
        <v>0</v>
      </c>
    </row>
    <row r="43" spans="1:24" x14ac:dyDescent="0.4">
      <c r="A43" s="29">
        <f t="shared" ref="A43" si="46">A40+1</f>
        <v>45822</v>
      </c>
      <c r="B43" s="4" t="s">
        <v>3</v>
      </c>
      <c r="C43" s="5"/>
      <c r="D43" s="5"/>
      <c r="E43" s="6"/>
      <c r="F43" s="23"/>
      <c r="G43" s="4" t="s">
        <v>3</v>
      </c>
      <c r="H43" s="2"/>
      <c r="I43" s="23">
        <f t="shared" ref="I43" si="47">F43+H43+H44+H45</f>
        <v>0</v>
      </c>
      <c r="J43" s="9"/>
      <c r="L43" s="29">
        <f t="shared" ref="L43" si="48">L40+1</f>
        <v>45838</v>
      </c>
      <c r="M43" s="4" t="s">
        <v>3</v>
      </c>
      <c r="N43" s="5" t="s">
        <v>290</v>
      </c>
      <c r="O43" s="5" t="s">
        <v>51</v>
      </c>
      <c r="P43" s="6"/>
      <c r="Q43" s="23">
        <v>9000</v>
      </c>
      <c r="R43" s="4" t="s">
        <v>3</v>
      </c>
      <c r="S43" s="2">
        <v>3000</v>
      </c>
      <c r="T43" s="23">
        <f t="shared" ref="T43" si="49">Q43+S43+S44+S45</f>
        <v>15000</v>
      </c>
      <c r="U43" s="9"/>
    </row>
    <row r="44" spans="1:24" x14ac:dyDescent="0.4">
      <c r="A44" s="29"/>
      <c r="B44" s="4" t="s">
        <v>4</v>
      </c>
      <c r="C44" s="5" t="s">
        <v>48</v>
      </c>
      <c r="D44" s="5"/>
      <c r="E44" s="6"/>
      <c r="F44" s="23"/>
      <c r="G44" s="4" t="s">
        <v>4</v>
      </c>
      <c r="H44" s="2"/>
      <c r="I44" s="23"/>
      <c r="J44" s="9"/>
      <c r="L44" s="29"/>
      <c r="M44" s="4" t="s">
        <v>4</v>
      </c>
      <c r="N44" s="5" t="s">
        <v>79</v>
      </c>
      <c r="O44" s="5" t="s">
        <v>51</v>
      </c>
      <c r="P44" s="6"/>
      <c r="Q44" s="23"/>
      <c r="R44" s="4" t="s">
        <v>4</v>
      </c>
      <c r="S44" s="2">
        <v>3000</v>
      </c>
      <c r="T44" s="23"/>
      <c r="U44" s="9"/>
    </row>
    <row r="45" spans="1:24" x14ac:dyDescent="0.4">
      <c r="A45" s="29"/>
      <c r="B45" s="4" t="s">
        <v>5</v>
      </c>
      <c r="C45" s="5"/>
      <c r="D45" s="5"/>
      <c r="E45" s="6"/>
      <c r="F45" s="23"/>
      <c r="G45" s="4" t="s">
        <v>5</v>
      </c>
      <c r="H45" s="2"/>
      <c r="I45" s="23"/>
      <c r="J45" s="9"/>
      <c r="L45" s="29"/>
      <c r="M45" s="4" t="s">
        <v>5</v>
      </c>
      <c r="N45" s="5"/>
      <c r="O45" s="5"/>
      <c r="P45" s="6"/>
      <c r="Q45" s="23"/>
      <c r="R45" s="4" t="s">
        <v>5</v>
      </c>
      <c r="S45" s="2"/>
      <c r="T45" s="23"/>
      <c r="U45" s="9"/>
    </row>
    <row r="46" spans="1:24" x14ac:dyDescent="0.4">
      <c r="A46" s="29">
        <f t="shared" ref="A46" si="50">A43+1</f>
        <v>45823</v>
      </c>
      <c r="B46" s="4" t="s">
        <v>3</v>
      </c>
      <c r="C46" s="5"/>
      <c r="D46" s="5"/>
      <c r="E46" s="6"/>
      <c r="F46" s="23"/>
      <c r="G46" s="4" t="s">
        <v>3</v>
      </c>
      <c r="H46" s="2"/>
      <c r="I46" s="23">
        <f t="shared" ref="I46" si="51">F46+H46+H47+H48</f>
        <v>0</v>
      </c>
      <c r="J46" s="9"/>
      <c r="L46" s="29"/>
      <c r="M46" s="4" t="s">
        <v>3</v>
      </c>
      <c r="N46" s="5"/>
      <c r="O46" s="5"/>
      <c r="P46" s="6"/>
      <c r="Q46" s="23"/>
      <c r="R46" s="4" t="s">
        <v>3</v>
      </c>
      <c r="S46" s="2"/>
      <c r="T46" s="23">
        <f t="shared" ref="T46" si="52">Q46+S46+S47+S48</f>
        <v>0</v>
      </c>
      <c r="U46" s="9"/>
    </row>
    <row r="47" spans="1:24" x14ac:dyDescent="0.4">
      <c r="A47" s="29"/>
      <c r="B47" s="4" t="s">
        <v>4</v>
      </c>
      <c r="C47" s="5" t="s">
        <v>48</v>
      </c>
      <c r="D47" s="5"/>
      <c r="E47" s="6"/>
      <c r="F47" s="23"/>
      <c r="G47" s="4" t="s">
        <v>4</v>
      </c>
      <c r="H47" s="2"/>
      <c r="I47" s="23"/>
      <c r="J47" s="9"/>
      <c r="L47" s="29"/>
      <c r="M47" s="4" t="s">
        <v>4</v>
      </c>
      <c r="N47" s="5"/>
      <c r="O47" s="5"/>
      <c r="P47" s="6"/>
      <c r="Q47" s="23"/>
      <c r="R47" s="4" t="s">
        <v>4</v>
      </c>
      <c r="S47" s="2"/>
      <c r="T47" s="23"/>
      <c r="U47" s="9"/>
    </row>
    <row r="48" spans="1:24" ht="19.5" thickBot="1" x14ac:dyDescent="0.45">
      <c r="A48" s="29"/>
      <c r="B48" s="4" t="s">
        <v>5</v>
      </c>
      <c r="C48" s="5"/>
      <c r="D48" s="5"/>
      <c r="E48" s="6"/>
      <c r="F48" s="23"/>
      <c r="G48" s="4" t="s">
        <v>5</v>
      </c>
      <c r="H48" s="2"/>
      <c r="I48" s="23"/>
      <c r="J48" s="9"/>
      <c r="L48" s="30"/>
      <c r="M48" s="15" t="s">
        <v>5</v>
      </c>
      <c r="N48" s="16"/>
      <c r="O48" s="16"/>
      <c r="P48" s="12"/>
      <c r="Q48" s="24"/>
      <c r="R48" s="15" t="s">
        <v>5</v>
      </c>
      <c r="S48" s="11"/>
      <c r="T48" s="24"/>
      <c r="U48" s="17"/>
    </row>
    <row r="49" spans="1:21" ht="19.5" thickTop="1" x14ac:dyDescent="0.4">
      <c r="A49" s="29">
        <f t="shared" ref="A49" si="53">A46+1</f>
        <v>45824</v>
      </c>
      <c r="B49" s="4" t="s">
        <v>3</v>
      </c>
      <c r="C49" s="5" t="s">
        <v>130</v>
      </c>
      <c r="D49" s="5" t="s">
        <v>51</v>
      </c>
      <c r="E49" s="6"/>
      <c r="F49" s="23">
        <v>9000</v>
      </c>
      <c r="G49" s="4" t="s">
        <v>3</v>
      </c>
      <c r="H49" s="2">
        <v>3500</v>
      </c>
      <c r="I49" s="23">
        <f t="shared" ref="I49" si="54">F49+H49+H50+H51</f>
        <v>20500</v>
      </c>
      <c r="J49" s="9" t="s">
        <v>91</v>
      </c>
      <c r="L49" s="25" t="s">
        <v>11</v>
      </c>
      <c r="M49" s="26"/>
      <c r="N49" s="13" t="s">
        <v>60</v>
      </c>
      <c r="O49" s="26" t="s">
        <v>15</v>
      </c>
      <c r="P49" s="26"/>
      <c r="Q49" s="26"/>
      <c r="R49" s="26"/>
      <c r="S49" s="26" t="s">
        <v>16</v>
      </c>
      <c r="T49" s="26"/>
      <c r="U49" s="14" t="s">
        <v>22</v>
      </c>
    </row>
    <row r="50" spans="1:21" ht="18.75" customHeight="1" x14ac:dyDescent="0.4">
      <c r="A50" s="29"/>
      <c r="B50" s="4" t="s">
        <v>4</v>
      </c>
      <c r="C50" s="5" t="s">
        <v>49</v>
      </c>
      <c r="D50" s="5" t="s">
        <v>51</v>
      </c>
      <c r="E50" s="6"/>
      <c r="F50" s="23"/>
      <c r="G50" s="4" t="s">
        <v>4</v>
      </c>
      <c r="H50" s="2">
        <v>3500</v>
      </c>
      <c r="I50" s="23"/>
      <c r="J50" s="9"/>
      <c r="L50" s="27">
        <f>W7</f>
        <v>22</v>
      </c>
      <c r="M50" s="28" t="s">
        <v>12</v>
      </c>
      <c r="N50" s="23">
        <f>MAX((L50-21)*5000,0)</f>
        <v>5000</v>
      </c>
      <c r="O50" s="31">
        <f>SUM(F4:F51,Q4:Q48)</f>
        <v>203000</v>
      </c>
      <c r="P50" s="31"/>
      <c r="Q50" s="31"/>
      <c r="R50" s="31"/>
      <c r="S50" s="23">
        <f>SUM(H4:H51,S4:S48)</f>
        <v>241550</v>
      </c>
      <c r="T50" s="23"/>
      <c r="U50" s="22">
        <v>10000</v>
      </c>
    </row>
    <row r="51" spans="1:21" ht="19.5" customHeight="1" thickBot="1" x14ac:dyDescent="0.45">
      <c r="A51" s="30"/>
      <c r="B51" s="15" t="s">
        <v>5</v>
      </c>
      <c r="C51" s="16" t="s">
        <v>170</v>
      </c>
      <c r="D51" s="16" t="s">
        <v>51</v>
      </c>
      <c r="E51" s="12"/>
      <c r="F51" s="24"/>
      <c r="G51" s="15" t="s">
        <v>5</v>
      </c>
      <c r="H51" s="11">
        <v>4500</v>
      </c>
      <c r="I51" s="24"/>
      <c r="J51" s="17"/>
      <c r="L51" s="27"/>
      <c r="M51" s="28"/>
      <c r="N51" s="23"/>
      <c r="O51" s="31"/>
      <c r="P51" s="31"/>
      <c r="Q51" s="31"/>
      <c r="R51" s="31"/>
      <c r="S51" s="23"/>
      <c r="T51" s="23"/>
      <c r="U51" s="22"/>
    </row>
    <row r="52" spans="1:21" ht="20.25" thickTop="1" x14ac:dyDescent="0.4">
      <c r="H52" s="54" t="s">
        <v>27</v>
      </c>
      <c r="I52" s="55"/>
      <c r="J52" s="21" t="s">
        <v>28</v>
      </c>
      <c r="L52" s="44" t="s">
        <v>18</v>
      </c>
      <c r="M52" s="45"/>
      <c r="N52" s="45"/>
      <c r="O52" s="45"/>
      <c r="P52" s="19"/>
      <c r="Q52" s="23" t="s">
        <v>23</v>
      </c>
      <c r="R52" s="23"/>
      <c r="S52" s="46" t="s">
        <v>24</v>
      </c>
      <c r="T52" s="46"/>
      <c r="U52" s="10" t="s">
        <v>17</v>
      </c>
    </row>
    <row r="53" spans="1:21" ht="18.75" customHeight="1" x14ac:dyDescent="0.4">
      <c r="H53" s="27" t="s">
        <v>29</v>
      </c>
      <c r="I53" s="23"/>
      <c r="J53" s="41">
        <v>45967</v>
      </c>
      <c r="L53" s="56" t="s">
        <v>44</v>
      </c>
      <c r="M53" s="57"/>
      <c r="N53" s="57"/>
      <c r="O53" s="57"/>
      <c r="P53" s="19"/>
      <c r="Q53" s="31">
        <v>5000</v>
      </c>
      <c r="R53" s="31"/>
      <c r="S53" s="23">
        <v>0</v>
      </c>
      <c r="T53" s="23"/>
      <c r="U53" s="39">
        <f>SUM(X37:X42)</f>
        <v>464550</v>
      </c>
    </row>
    <row r="54" spans="1:21" ht="19.5" customHeight="1" thickBot="1" x14ac:dyDescent="0.45">
      <c r="H54" s="27"/>
      <c r="I54" s="23"/>
      <c r="J54" s="22"/>
      <c r="L54" s="58"/>
      <c r="M54" s="59"/>
      <c r="N54" s="59"/>
      <c r="O54" s="59"/>
      <c r="P54" s="20"/>
      <c r="Q54" s="31"/>
      <c r="R54" s="31"/>
      <c r="S54" s="23"/>
      <c r="T54" s="23"/>
      <c r="U54" s="39"/>
    </row>
    <row r="55" spans="1:21" ht="19.5" customHeight="1" thickTop="1" thickBot="1" x14ac:dyDescent="0.45">
      <c r="H55" s="43"/>
      <c r="I55" s="24"/>
      <c r="J55" s="42"/>
      <c r="L55" s="60"/>
      <c r="M55" s="61"/>
      <c r="N55" s="61"/>
      <c r="O55" s="61"/>
      <c r="P55" s="20"/>
      <c r="Q55" s="53" t="s">
        <v>25</v>
      </c>
      <c r="R55" s="53"/>
      <c r="S55" s="53" t="s">
        <v>26</v>
      </c>
      <c r="T55" s="53"/>
      <c r="U55" s="40"/>
    </row>
    <row r="56" spans="1:21" ht="19.5" thickTop="1" x14ac:dyDescent="0.4"/>
  </sheetData>
  <mergeCells count="120">
    <mergeCell ref="A4:A6"/>
    <mergeCell ref="F4:F6"/>
    <mergeCell ref="I4:I6"/>
    <mergeCell ref="L4:L6"/>
    <mergeCell ref="Q4:Q6"/>
    <mergeCell ref="T4:T6"/>
    <mergeCell ref="A1:J2"/>
    <mergeCell ref="L1:U2"/>
    <mergeCell ref="B3:C3"/>
    <mergeCell ref="G3:H3"/>
    <mergeCell ref="M3:N3"/>
    <mergeCell ref="R3:S3"/>
    <mergeCell ref="A10:A12"/>
    <mergeCell ref="F10:F12"/>
    <mergeCell ref="I10:I12"/>
    <mergeCell ref="L10:L12"/>
    <mergeCell ref="Q10:Q12"/>
    <mergeCell ref="T10:T12"/>
    <mergeCell ref="A7:A9"/>
    <mergeCell ref="F7:F9"/>
    <mergeCell ref="I7:I9"/>
    <mergeCell ref="L7:L9"/>
    <mergeCell ref="Q7:Q9"/>
    <mergeCell ref="T7:T9"/>
    <mergeCell ref="A16:A18"/>
    <mergeCell ref="F16:F18"/>
    <mergeCell ref="I16:I18"/>
    <mergeCell ref="L16:L18"/>
    <mergeCell ref="Q16:Q18"/>
    <mergeCell ref="T16:T18"/>
    <mergeCell ref="A13:A15"/>
    <mergeCell ref="F13:F15"/>
    <mergeCell ref="I13:I15"/>
    <mergeCell ref="L13:L15"/>
    <mergeCell ref="Q13:Q15"/>
    <mergeCell ref="T13:T15"/>
    <mergeCell ref="A22:A24"/>
    <mergeCell ref="F22:F24"/>
    <mergeCell ref="I22:I24"/>
    <mergeCell ref="L22:L24"/>
    <mergeCell ref="Q22:Q24"/>
    <mergeCell ref="T22:T24"/>
    <mergeCell ref="A19:A21"/>
    <mergeCell ref="F19:F21"/>
    <mergeCell ref="I19:I21"/>
    <mergeCell ref="L19:L21"/>
    <mergeCell ref="Q19:Q21"/>
    <mergeCell ref="T19:T21"/>
    <mergeCell ref="A28:A30"/>
    <mergeCell ref="F28:F30"/>
    <mergeCell ref="I28:I30"/>
    <mergeCell ref="L28:L30"/>
    <mergeCell ref="Q28:Q30"/>
    <mergeCell ref="T28:T30"/>
    <mergeCell ref="A25:A27"/>
    <mergeCell ref="F25:F27"/>
    <mergeCell ref="I25:I27"/>
    <mergeCell ref="L25:L27"/>
    <mergeCell ref="Q25:Q27"/>
    <mergeCell ref="T25:T27"/>
    <mergeCell ref="A34:A36"/>
    <mergeCell ref="F34:F36"/>
    <mergeCell ref="I34:I36"/>
    <mergeCell ref="L34:L36"/>
    <mergeCell ref="Q34:Q36"/>
    <mergeCell ref="T34:T36"/>
    <mergeCell ref="A31:A33"/>
    <mergeCell ref="F31:F33"/>
    <mergeCell ref="I31:I33"/>
    <mergeCell ref="L31:L33"/>
    <mergeCell ref="Q31:Q33"/>
    <mergeCell ref="T31:T33"/>
    <mergeCell ref="A40:A42"/>
    <mergeCell ref="F40:F42"/>
    <mergeCell ref="I40:I42"/>
    <mergeCell ref="L40:L42"/>
    <mergeCell ref="Q40:Q42"/>
    <mergeCell ref="T40:T42"/>
    <mergeCell ref="A37:A39"/>
    <mergeCell ref="F37:F39"/>
    <mergeCell ref="I37:I39"/>
    <mergeCell ref="L37:L39"/>
    <mergeCell ref="Q37:Q39"/>
    <mergeCell ref="T37:T39"/>
    <mergeCell ref="A46:A48"/>
    <mergeCell ref="F46:F48"/>
    <mergeCell ref="I46:I48"/>
    <mergeCell ref="L46:L48"/>
    <mergeCell ref="Q46:Q48"/>
    <mergeCell ref="T46:T48"/>
    <mergeCell ref="A43:A45"/>
    <mergeCell ref="F43:F45"/>
    <mergeCell ref="I43:I45"/>
    <mergeCell ref="L43:L45"/>
    <mergeCell ref="Q43:Q45"/>
    <mergeCell ref="T43:T45"/>
    <mergeCell ref="A49:A51"/>
    <mergeCell ref="F49:F51"/>
    <mergeCell ref="I49:I51"/>
    <mergeCell ref="L49:M49"/>
    <mergeCell ref="O49:R49"/>
    <mergeCell ref="S49:T49"/>
    <mergeCell ref="L50:L51"/>
    <mergeCell ref="M50:M51"/>
    <mergeCell ref="N50:N51"/>
    <mergeCell ref="O50:R51"/>
    <mergeCell ref="H53:I55"/>
    <mergeCell ref="J53:J55"/>
    <mergeCell ref="L53:O55"/>
    <mergeCell ref="Q53:R54"/>
    <mergeCell ref="S53:T54"/>
    <mergeCell ref="U53:U55"/>
    <mergeCell ref="Q55:R55"/>
    <mergeCell ref="S55:T55"/>
    <mergeCell ref="S50:T51"/>
    <mergeCell ref="U50:U51"/>
    <mergeCell ref="H52:I52"/>
    <mergeCell ref="L52:O52"/>
    <mergeCell ref="Q52:R52"/>
    <mergeCell ref="S52:T52"/>
  </mergeCells>
  <phoneticPr fontId="1"/>
  <dataValidations count="1">
    <dataValidation type="list" allowBlank="1" showInputMessage="1" showErrorMessage="1" sqref="D4:D51 O4:O48" xr:uid="{6108F4B2-2ADB-495C-B057-CAB85135613D}">
      <formula1>$W$2:$W$4</formula1>
    </dataValidation>
  </dataValidations>
  <pageMargins left="1.9685039370078741" right="0.98425196850393704" top="0.98425196850393704" bottom="0.98425196850393704" header="0.51181102362204722" footer="0.51181102362204722"/>
  <pageSetup paperSize="8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D5A7F9-889D-4126-A994-29AA147EC3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15</vt:i4>
      </vt:variant>
    </vt:vector>
  </HeadingPairs>
  <TitlesOfParts>
    <vt:vector size="30" baseType="lpstr">
      <vt:lpstr>明細原本</vt:lpstr>
      <vt:lpstr>岡田</vt:lpstr>
      <vt:lpstr>水原</vt:lpstr>
      <vt:lpstr>久保</vt:lpstr>
      <vt:lpstr>宮富</vt:lpstr>
      <vt:lpstr>殿村</vt:lpstr>
      <vt:lpstr>立脇</vt:lpstr>
      <vt:lpstr>辻</vt:lpstr>
      <vt:lpstr>青山</vt:lpstr>
      <vt:lpstr>高丸</vt:lpstr>
      <vt:lpstr>田邊</vt:lpstr>
      <vt:lpstr>米田</vt:lpstr>
      <vt:lpstr>柳澤</vt:lpstr>
      <vt:lpstr>殿村ジュニア</vt:lpstr>
      <vt:lpstr>粟田</vt:lpstr>
      <vt:lpstr>粟田!Print_Area</vt:lpstr>
      <vt:lpstr>岡田!Print_Area</vt:lpstr>
      <vt:lpstr>久保!Print_Area</vt:lpstr>
      <vt:lpstr>宮富!Print_Area</vt:lpstr>
      <vt:lpstr>高丸!Print_Area</vt:lpstr>
      <vt:lpstr>水原!Print_Area</vt:lpstr>
      <vt:lpstr>青山!Print_Area</vt:lpstr>
      <vt:lpstr>辻!Print_Area</vt:lpstr>
      <vt:lpstr>殿村!Print_Area</vt:lpstr>
      <vt:lpstr>殿村ジュニア!Print_Area</vt:lpstr>
      <vt:lpstr>田邊!Print_Area</vt:lpstr>
      <vt:lpstr>米田!Print_Area</vt:lpstr>
      <vt:lpstr>明細原本!Print_Area</vt:lpstr>
      <vt:lpstr>柳澤!Print_Area</vt:lpstr>
      <vt:lpstr>立脇!Print_Area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照訓 東</dc:creator>
  <cp:lastModifiedBy>照訓 東</cp:lastModifiedBy>
  <cp:lastPrinted>2025-07-23T00:52:09Z</cp:lastPrinted>
  <dcterms:created xsi:type="dcterms:W3CDTF">2024-02-15T04:31:42Z</dcterms:created>
  <dcterms:modified xsi:type="dcterms:W3CDTF">2025-09-05T02:35:21Z</dcterms:modified>
</cp:coreProperties>
</file>